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verview" sheetId="1" r:id="rId1"/>
    <sheet name="Daily entries" sheetId="2" r:id="rId2"/>
    <sheet name="Fixed costs" sheetId="3" r:id="rId3"/>
    <sheet name="Daily summary" sheetId="4" r:id="rId4"/>
    <sheet name="Vodafone bills" sheetId="5" r:id="rId5"/>
    <sheet name="Read me" sheetId="6" r:id="rId6"/>
  </sheets>
  <definedNames>
    <definedName name="_xlnm._FilterDatabase" localSheetId="3" hidden="1">'Daily summary'!$A$6:$G$37</definedName>
    <definedName name="FixedTotal">'Fixed costs'!$B$37+VodafoneTotal</definedName>
    <definedName name="MonthEnd">EOMONTH(MonthStart,0)+1</definedName>
    <definedName name="MonthStart">DATE(YEAR(Overview!$C$5),MONTH(Overview!$C$5),1)</definedName>
    <definedName name="_xlnm.Print_Area" localSheetId="3">'Daily summary'!$A$2:$G$39</definedName>
    <definedName name="_xlnm.Print_Area" localSheetId="2">'Fixed costs'!$A$2:$C$38</definedName>
    <definedName name="_xlnm.Print_Area" localSheetId="0">Overview!$B$2:$L$33</definedName>
    <definedName name="_xlnm.Print_Titles" localSheetId="1">'Daily entries'!$6:$6</definedName>
    <definedName name="_xlnm.Print_Titles" localSheetId="3">'Daily summary'!$6:$6</definedName>
    <definedName name="_xlnm.Print_Titles" localSheetId="4">'Vodafone bills'!$6:$6</definedName>
    <definedName name="VodafoneTotal">SUMIFS('Vodafone bills'!$B$7:$B$126,'Vodafone bills'!$A$7:$A$126,"&gt;="&amp;MonthStart,'Vodafone bills'!$A$7:$A$126,"&lt;"&amp;MonthEnd)</definedName>
  </definedNames>
  <calcPr calcId="124519" fullCalcOnLoad="1"/>
</workbook>
</file>

<file path=xl/comments1.xml><?xml version="1.0" encoding="utf-8"?>
<comments xmlns="http://schemas.openxmlformats.org/spreadsheetml/2006/main">
  <authors>
    <author/>
  </authors>
  <commentList>
    <comment ref="C5" authorId="0">
      <text>
        <r>
          <rPr>
            <sz val="8"/>
            <color indexed="81"/>
            <rFont val="Tahoma"/>
            <family val="2"/>
          </rPr>
          <t>Enter any date in the month you want to review. The workbook uses that entire calendar month.</t>
        </r>
      </text>
    </comment>
    <comment ref="C6" authorId="0">
      <text>
        <r>
          <rPr>
            <sz val="8"/>
            <color indexed="81"/>
            <rFont val="Tahoma"/>
            <family val="2"/>
          </rPr>
          <t>Money available at the start of the selected month. Update when changing months. This does not carry over automatically.</t>
        </r>
      </text>
    </comment>
  </commentList>
</comments>
</file>

<file path=xl/sharedStrings.xml><?xml version="1.0" encoding="utf-8"?>
<sst xmlns="http://schemas.openxmlformats.org/spreadsheetml/2006/main" count="61" uniqueCount="56">
  <si>
    <t>Your money, day by day</t>
  </si>
  <si>
    <t>Track income and everyday spending. Keep recurring bills in Fixed costs.</t>
  </si>
  <si>
    <t>Month to review</t>
  </si>
  <si>
    <t>Opening balance (optional)</t>
  </si>
  <si>
    <t>Income this month</t>
  </si>
  <si>
    <t>Everyday spending</t>
  </si>
  <si>
    <t>Monthly bills incl. Vodafone</t>
  </si>
  <si>
    <t>Remaining after fixed budget</t>
  </si>
  <si>
    <t>This is a budget balance, not your actual bank balance. The monthly bills budget is deducted, whether paid yet or not. Vodafone is excluded until its amount is entered. Do not enter the same bills again in Daily entries.</t>
  </si>
  <si>
    <t>Daily fixed-cost reserve</t>
  </si>
  <si>
    <t>Your fixed expenses are assumed to be monthly: rent 19,500 Kč, internet 447 Kč, credit 10,670 Kč. Edit them in Fixed costs. Enter each Vodafone bill in Vodafone bills. Blue cells are editable.</t>
  </si>
  <si>
    <t>Start in Daily entries: enter a date, income or spending, and a short note. Review Daily summary for totals by day. Change the month above to review past or future entries.</t>
  </si>
  <si>
    <t>Vodafone this month</t>
  </si>
  <si>
    <t>Vodafone amount is not provided yet. Enter the actual monthly bill on Vodafone bills (date + amount); it is added to that month only. Do not also enter it in Daily entries or Fixed costs.</t>
  </si>
  <si>
    <t>Vodafone entry status</t>
  </si>
  <si>
    <t>Daily entries</t>
  </si>
  <si>
    <t>Enter income or everyday spending in positive CZK amounts. Vodafone belongs on Vodafone bills. You can use several rows for one day. Fixed bills belong only in Fixed costs. Enter dates, not text.</t>
  </si>
  <si>
    <t>Date</t>
  </si>
  <si>
    <t>Category</t>
  </si>
  <si>
    <t>Income (CZK)</t>
  </si>
  <si>
    <t>Spending (CZK)</t>
  </si>
  <si>
    <t>Entry net (CZK)</t>
  </si>
  <si>
    <t>Note</t>
  </si>
  <si>
    <t>Monthly fixed costs</t>
  </si>
  <si>
    <t>Monthly amounts apply to every selected month. Change blue cells to update your budget. These are planned costs; payment status is not tracked.</t>
  </si>
  <si>
    <t>Expense</t>
  </si>
  <si>
    <t>Monthly amount (CZK)</t>
  </si>
  <si>
    <t>Notes</t>
  </si>
  <si>
    <t>Rent</t>
  </si>
  <si>
    <t>Assumed monthly</t>
  </si>
  <si>
    <t>Internet</t>
  </si>
  <si>
    <t>Credit</t>
  </si>
  <si>
    <t>Total monthly fixed costs</t>
  </si>
  <si>
    <t>Daily summary</t>
  </si>
  <si>
    <t>Selected month from Overview. Fixed reserve spreads monthly bills evenly over calendar days; it is a planning amount, not a payment. Running budget starts from your opening balance.</t>
  </si>
  <si>
    <t>Everyday spending (CZK)</t>
  </si>
  <si>
    <t>Cash flow before fixed</t>
  </si>
  <si>
    <t>Fixed reserve (CZK)</t>
  </si>
  <si>
    <t>After fixed reserve</t>
  </si>
  <si>
    <t>Running budget (CZK)</t>
  </si>
  <si>
    <t>Monthly total</t>
  </si>
  <si>
    <t>Vodafone — monthly bills</t>
  </si>
  <si>
    <t>Enter each month’s actual bill. Use a date in the month you want to budget it against. Blank means unknown. Enter 0 explicitly if no charge. Do not record it again elsewhere.</t>
  </si>
  <si>
    <t>Budget month / date</t>
  </si>
  <si>
    <t>Amount (CZK)</t>
  </si>
  <si>
    <t>Enter actual bill here; amount varies by month</t>
  </si>
  <si>
    <t>How to use your budget</t>
  </si>
  <si>
    <t>1. Overview: choose the month and enter your opening balance for that month. The default is October 2026; replace it as needed.</t>
  </si>
  <si>
    <t>2. Fixed costs: rent 19,500 Kč + internet 447 Kč + credit 10,670 Kč = 30,617 Kč per month. Monthly frequency is an assumption. For an annual bill, enter annual cost ÷ 12; for a weekly bill, use weekly cost × 52 ÷ 12.</t>
  </si>
  <si>
    <t>3. Daily entries: enter actual dates, positive income or spending, and an optional category/note. Use one row per transaction or one row per day. There are 2,000 entry rows. Do not type into the calculated Entry net column.</t>
  </si>
  <si>
    <t>4. Do not enter rent, internet, credit, Vodafone, or other fixed bills in Daily entries if they are already on Fixed costs. Otherwise your budget will subtract them twice.</t>
  </si>
  <si>
    <t>5. Daily summary: income, everyday spending, cash flow, daily fixed reserve, and running budget are calculated automatically for the selected month. Negative figures mean a shortfall against the budget.</t>
  </si>
  <si>
    <t>6. Remaining after fixed budget = opening balance + income − everyday spending − full monthly fixed budget. It does not represent a live bank balance or whether fixed bills have been paid.</t>
  </si>
  <si>
    <t>7. Blue cells are editable. Formula cells calculate automatically in Excel. Changing fixed amounts updates all reviewed months; this workbook does not preserve a history of earlier fixed-cost rates.</t>
  </si>
  <si>
    <t>8. Vodafone bills: enter the actual amount for each month separately. It is added to that month’s bills budget and daily reserve. An unknown bill is excluded and flagged on Overview. Never enter it twice. Money format is Czech koruna (CZK / Kč). English labels are used. No account numbers, passwords, macros, or external connections are included. Keep your personal finance file private.</t>
  </si>
  <si>
    <t>9. Data entry tip: select dates using your normal Excel date format. A blank date with an amount is highlighted and excluded from the summaries until you add the date.</t>
  </si>
</sst>
</file>

<file path=xl/styles.xml><?xml version="1.0" encoding="utf-8"?>
<styleSheet xmlns="http://schemas.openxmlformats.org/spreadsheetml/2006/main">
  <numFmts count="3">
    <numFmt numFmtId="164" formatCode="dd mmm yyyy"/>
    <numFmt numFmtId="165" formatCode="#,##0.00 &quot;Kč&quot;;[Red]-#,##0.00 &quot;Kč&quot;"/>
    <numFmt numFmtId="166" formatCode="ddd, dd mmm"/>
  </numFmts>
  <fonts count="10">
    <font>
      <sz val="11"/>
      <color theme="1"/>
      <name val="Calibri"/>
      <family val="2"/>
      <scheme val="minor"/>
    </font>
    <font>
      <b/>
      <sz val="23"/>
      <color rgb="FF18354D"/>
      <name val="Calibri"/>
      <family val="2"/>
      <scheme val="minor"/>
    </font>
    <font>
      <sz val="11"/>
      <color rgb="FF60758A"/>
      <name val="Calibri"/>
      <family val="2"/>
      <scheme val="minor"/>
    </font>
    <font>
      <b/>
      <sz val="11"/>
      <color rgb="FF18354D"/>
      <name val="Calibri"/>
      <family val="2"/>
      <scheme val="minor"/>
    </font>
    <font>
      <sz val="11"/>
      <color rgb="FF1769AA"/>
      <name val="Calibri"/>
      <family val="2"/>
      <scheme val="minor"/>
    </font>
    <font>
      <b/>
      <sz val="18"/>
      <color rgb="FF18354D"/>
      <name val="Calibri"/>
      <family val="2"/>
      <scheme val="minor"/>
    </font>
    <font>
      <sz val="10"/>
      <color rgb="FF60758A"/>
      <name val="Calibri"/>
      <family val="2"/>
      <scheme val="minor"/>
    </font>
    <font>
      <sz val="11"/>
      <color rgb="FF18354D"/>
      <name val="Calibri"/>
      <family val="2"/>
      <scheme val="minor"/>
    </font>
    <font>
      <b/>
      <sz val="11"/>
      <color rgb="FFFFFFFF"/>
      <name val="Calibri"/>
      <family val="2"/>
      <scheme val="minor"/>
    </font>
    <font>
      <sz val="8"/>
      <color indexed="81"/>
      <name val="Tahoma"/>
      <family val="2"/>
    </font>
  </fonts>
  <fills count="4">
    <fill>
      <patternFill patternType="none"/>
    </fill>
    <fill>
      <patternFill patternType="gray125"/>
    </fill>
    <fill>
      <patternFill patternType="solid">
        <fgColor rgb="FFEDF4FA"/>
        <bgColor indexed="64"/>
      </patternFill>
    </fill>
    <fill>
      <patternFill patternType="solid">
        <fgColor rgb="FF18354D"/>
        <bgColor indexed="64"/>
      </patternFill>
    </fill>
  </fills>
  <borders count="2">
    <border>
      <left/>
      <right/>
      <top/>
      <bottom/>
      <diagonal/>
    </border>
    <border>
      <left/>
      <right/>
      <top/>
      <bottom style="thin">
        <color auto="1"/>
      </bottom>
      <diagonal/>
    </border>
  </borders>
  <cellStyleXfs count="1">
    <xf numFmtId="0" fontId="0" fillId="0" borderId="0"/>
  </cellStyleXfs>
  <cellXfs count="12">
    <xf numFmtId="0" fontId="0" fillId="0" borderId="0" xfId="0"/>
    <xf numFmtId="0" fontId="1" fillId="0" borderId="0" xfId="0" applyFont="1"/>
    <xf numFmtId="0" fontId="2" fillId="0" borderId="0" xfId="0" applyFont="1" applyAlignment="1">
      <alignment vertical="center" wrapText="1"/>
    </xf>
    <xf numFmtId="0" fontId="3" fillId="0" borderId="0" xfId="0" applyFont="1" applyAlignment="1">
      <alignment vertical="center" wrapText="1"/>
    </xf>
    <xf numFmtId="164" fontId="4" fillId="2" borderId="0" xfId="0" applyNumberFormat="1" applyFont="1" applyFill="1"/>
    <xf numFmtId="165" fontId="4" fillId="2" borderId="0" xfId="0" applyNumberFormat="1" applyFont="1" applyFill="1"/>
    <xf numFmtId="165" fontId="5" fillId="2" borderId="0" xfId="0" applyNumberFormat="1" applyFont="1" applyFill="1"/>
    <xf numFmtId="0" fontId="6" fillId="0" borderId="0" xfId="0" applyFont="1" applyAlignment="1">
      <alignment vertical="top" wrapText="1"/>
    </xf>
    <xf numFmtId="165" fontId="7" fillId="0" borderId="0" xfId="0" applyNumberFormat="1" applyFont="1"/>
    <xf numFmtId="0" fontId="4" fillId="2" borderId="0" xfId="0" applyFont="1" applyFill="1"/>
    <xf numFmtId="0" fontId="8" fillId="3" borderId="1" xfId="0" applyFont="1" applyFill="1" applyBorder="1" applyAlignment="1">
      <alignment vertical="center" wrapText="1"/>
    </xf>
    <xf numFmtId="166" fontId="7" fillId="0" borderId="0" xfId="0" applyNumberFormat="1" applyFont="1"/>
  </cellXfs>
  <cellStyles count="1">
    <cellStyle name="Normal" xfId="0" builtinId="0"/>
  </cellStyles>
  <dxfs count="6">
    <dxf>
      <font>
        <color rgb="FFB23838"/>
      </font>
      <fill>
        <patternFill>
          <bgColor rgb="FFFCECED"/>
        </patternFill>
      </fill>
    </dxf>
    <dxf>
      <font>
        <color rgb="FF11785A"/>
      </font>
    </dxf>
    <dxf>
      <font>
        <color rgb="FF1769AA"/>
      </font>
      <numFmt numFmtId="164" formatCode="dd mmm yyyy"/>
      <fill>
        <patternFill>
          <bgColor rgb="FFEDF4FA"/>
        </patternFill>
      </fill>
    </dxf>
    <dxf>
      <font>
        <color rgb="FF1769AA"/>
      </font>
      <fill>
        <patternFill>
          <bgColor rgb="FFEDF4FA"/>
        </patternFill>
      </fill>
    </dxf>
    <dxf>
      <font>
        <color rgb="FF1769AA"/>
      </font>
      <numFmt numFmtId="165" formatCode="#,##0.00 &quot;Kč&quot;;[Red]-#,##0.00 &quot;Kč&quot;"/>
      <fill>
        <patternFill>
          <bgColor rgb="FFEDF4FA"/>
        </patternFill>
      </fill>
    </dxf>
    <dxf>
      <font>
        <color rgb="FF18354D"/>
      </font>
      <numFmt numFmtId="165" formatCode="#,##0.00 &quot;Kč&quot;;[Red]-#,##0.00 &quot;Kč&quot;"/>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Daily income and spending</a:t>
            </a:r>
          </a:p>
        </c:rich>
      </c:tx>
      <c:layout/>
    </c:title>
    <c:plotArea>
      <c:layout/>
      <c:barChart>
        <c:barDir val="col"/>
        <c:grouping val="clustered"/>
        <c:ser>
          <c:idx val="0"/>
          <c:order val="0"/>
          <c:tx>
            <c:v>Income</c:v>
          </c:tx>
          <c:spPr>
            <a:solidFill>
              <a:srgbClr val="1769AA"/>
            </a:solidFill>
            <a:ln>
              <a:noFill/>
            </a:ln>
          </c:spPr>
          <c:cat>
            <c:numRef>
              <c:f>'Daily summary'!$A$7:$A$37</c:f>
              <c:numCache>
                <c:formatCode>General</c:formatCode>
                <c:ptCount val="31"/>
                <c:pt idx="0">
                  <c:v>46296</c:v>
                </c:pt>
                <c:pt idx="1">
                  <c:v>46297</c:v>
                </c:pt>
                <c:pt idx="2">
                  <c:v>46298</c:v>
                </c:pt>
                <c:pt idx="3">
                  <c:v>46299</c:v>
                </c:pt>
                <c:pt idx="4">
                  <c:v>46300</c:v>
                </c:pt>
                <c:pt idx="5">
                  <c:v>46301</c:v>
                </c:pt>
                <c:pt idx="6">
                  <c:v>46302</c:v>
                </c:pt>
                <c:pt idx="7">
                  <c:v>46303</c:v>
                </c:pt>
                <c:pt idx="8">
                  <c:v>46304</c:v>
                </c:pt>
                <c:pt idx="9">
                  <c:v>46305</c:v>
                </c:pt>
                <c:pt idx="10">
                  <c:v>46306</c:v>
                </c:pt>
                <c:pt idx="11">
                  <c:v>46307</c:v>
                </c:pt>
                <c:pt idx="12">
                  <c:v>46308</c:v>
                </c:pt>
                <c:pt idx="13">
                  <c:v>46309</c:v>
                </c:pt>
                <c:pt idx="14">
                  <c:v>46310</c:v>
                </c:pt>
                <c:pt idx="15">
                  <c:v>46311</c:v>
                </c:pt>
                <c:pt idx="16">
                  <c:v>46312</c:v>
                </c:pt>
                <c:pt idx="17">
                  <c:v>46313</c:v>
                </c:pt>
                <c:pt idx="18">
                  <c:v>46314</c:v>
                </c:pt>
                <c:pt idx="19">
                  <c:v>46315</c:v>
                </c:pt>
                <c:pt idx="20">
                  <c:v>46316</c:v>
                </c:pt>
                <c:pt idx="21">
                  <c:v>46317</c:v>
                </c:pt>
                <c:pt idx="22">
                  <c:v>46318</c:v>
                </c:pt>
                <c:pt idx="23">
                  <c:v>46319</c:v>
                </c:pt>
                <c:pt idx="24">
                  <c:v>46320</c:v>
                </c:pt>
                <c:pt idx="25">
                  <c:v>46321</c:v>
                </c:pt>
                <c:pt idx="26">
                  <c:v>46322</c:v>
                </c:pt>
                <c:pt idx="27">
                  <c:v>46323</c:v>
                </c:pt>
                <c:pt idx="28">
                  <c:v>46324</c:v>
                </c:pt>
                <c:pt idx="29">
                  <c:v>46325</c:v>
                </c:pt>
                <c:pt idx="30">
                  <c:v>46326</c:v>
                </c:pt>
              </c:numCache>
            </c:numRef>
          </c:cat>
          <c:val>
            <c:numRef>
              <c:f>'Daily summary'!$B$7:$B$37</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er>
        <c:ser>
          <c:idx val="1"/>
          <c:order val="1"/>
          <c:tx>
            <c:v>Everyday spending</c:v>
          </c:tx>
          <c:spPr>
            <a:solidFill>
              <a:srgbClr val="E89977"/>
            </a:solidFill>
            <a:ln>
              <a:noFill/>
            </a:ln>
          </c:spPr>
          <c:cat>
            <c:numRef>
              <c:f>'Daily summary'!$A$7:$A$37</c:f>
              <c:numCache>
                <c:formatCode>General</c:formatCode>
                <c:ptCount val="31"/>
                <c:pt idx="0">
                  <c:v>46296</c:v>
                </c:pt>
                <c:pt idx="1">
                  <c:v>46297</c:v>
                </c:pt>
                <c:pt idx="2">
                  <c:v>46298</c:v>
                </c:pt>
                <c:pt idx="3">
                  <c:v>46299</c:v>
                </c:pt>
                <c:pt idx="4">
                  <c:v>46300</c:v>
                </c:pt>
                <c:pt idx="5">
                  <c:v>46301</c:v>
                </c:pt>
                <c:pt idx="6">
                  <c:v>46302</c:v>
                </c:pt>
                <c:pt idx="7">
                  <c:v>46303</c:v>
                </c:pt>
                <c:pt idx="8">
                  <c:v>46304</c:v>
                </c:pt>
                <c:pt idx="9">
                  <c:v>46305</c:v>
                </c:pt>
                <c:pt idx="10">
                  <c:v>46306</c:v>
                </c:pt>
                <c:pt idx="11">
                  <c:v>46307</c:v>
                </c:pt>
                <c:pt idx="12">
                  <c:v>46308</c:v>
                </c:pt>
                <c:pt idx="13">
                  <c:v>46309</c:v>
                </c:pt>
                <c:pt idx="14">
                  <c:v>46310</c:v>
                </c:pt>
                <c:pt idx="15">
                  <c:v>46311</c:v>
                </c:pt>
                <c:pt idx="16">
                  <c:v>46312</c:v>
                </c:pt>
                <c:pt idx="17">
                  <c:v>46313</c:v>
                </c:pt>
                <c:pt idx="18">
                  <c:v>46314</c:v>
                </c:pt>
                <c:pt idx="19">
                  <c:v>46315</c:v>
                </c:pt>
                <c:pt idx="20">
                  <c:v>46316</c:v>
                </c:pt>
                <c:pt idx="21">
                  <c:v>46317</c:v>
                </c:pt>
                <c:pt idx="22">
                  <c:v>46318</c:v>
                </c:pt>
                <c:pt idx="23">
                  <c:v>46319</c:v>
                </c:pt>
                <c:pt idx="24">
                  <c:v>46320</c:v>
                </c:pt>
                <c:pt idx="25">
                  <c:v>46321</c:v>
                </c:pt>
                <c:pt idx="26">
                  <c:v>46322</c:v>
                </c:pt>
                <c:pt idx="27">
                  <c:v>46323</c:v>
                </c:pt>
                <c:pt idx="28">
                  <c:v>46324</c:v>
                </c:pt>
                <c:pt idx="29">
                  <c:v>46325</c:v>
                </c:pt>
                <c:pt idx="30">
                  <c:v>46326</c:v>
                </c:pt>
              </c:numCache>
            </c:numRef>
          </c:cat>
          <c:val>
            <c:numRef>
              <c:f>'Daily summary'!$C$7:$C$37</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er>
        <c:axId val="50010001"/>
        <c:axId val="50010002"/>
      </c:barChart>
      <c:dateAx>
        <c:axId val="50010001"/>
        <c:scaling>
          <c:orientation val="minMax"/>
        </c:scaling>
        <c:axPos val="b"/>
        <c:title>
          <c:tx>
            <c:rich>
              <a:bodyPr/>
              <a:lstStyle/>
              <a:p>
                <a:pPr>
                  <a:defRPr/>
                </a:pPr>
                <a:r>
                  <a:rPr lang="en-US"/>
                  <a:t>Selected month</a:t>
                </a:r>
              </a:p>
            </c:rich>
          </c:tx>
          <c:layout/>
        </c:title>
        <c:numFmt formatCode="d mmm" sourceLinked="0"/>
        <c:tickLblPos val="nextTo"/>
        <c:crossAx val="50010002"/>
        <c:crosses val="autoZero"/>
        <c:auto val="1"/>
        <c:lblOffset val="100"/>
      </c:dateAx>
      <c:valAx>
        <c:axId val="50010002"/>
        <c:scaling>
          <c:orientation val="minMax"/>
        </c:scaling>
        <c:axPos val="l"/>
        <c:majorGridlines>
          <c:spPr>
            <a:ln>
              <a:solidFill>
                <a:srgbClr val="E4EDF4"/>
              </a:solidFill>
            </a:ln>
          </c:spPr>
        </c:majorGridlines>
        <c:title>
          <c:tx>
            <c:rich>
              <a:bodyPr/>
              <a:lstStyle/>
              <a:p>
                <a:pPr>
                  <a:defRPr/>
                </a:pPr>
                <a:r>
                  <a:rPr lang="en-US"/>
                  <a:t>CZK</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0</xdr:colOff>
      <xdr:row>4</xdr:row>
      <xdr:rowOff>0</xdr:rowOff>
    </xdr:from>
    <xdr:to>
      <xdr:col>12</xdr:col>
      <xdr:colOff>171450</xdr:colOff>
      <xdr:row>17</xdr:row>
      <xdr:rowOff>142875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MoneyEntries" displayName="MoneyEntries" ref="A6:F2006" totalsRowShown="0">
  <autoFilter ref="A6:F2006"/>
  <tableColumns count="6">
    <tableColumn id="1" name="Date" dataDxfId="2"/>
    <tableColumn id="2" name="Category" dataDxfId="3"/>
    <tableColumn id="3" name="Income (CZK)" dataDxfId="4"/>
    <tableColumn id="4" name="Spending (CZK)" dataDxfId="4"/>
    <tableColumn id="5" name="Entry net (CZK)" dataDxfId="5"/>
    <tableColumn id="6" name="Note" dataDxfId="3"/>
  </tableColumns>
  <tableStyleInfo name="TableStyleMedium2" showFirstColumn="0" showLastColumn="0" showRowStripes="1" showColumnStripes="0"/>
</table>
</file>

<file path=xl/tables/table2.xml><?xml version="1.0" encoding="utf-8"?>
<table xmlns="http://schemas.openxmlformats.org/spreadsheetml/2006/main" id="2" name="FixedExpenses" displayName="FixedExpenses" ref="A6:C35" totalsRowShown="0">
  <autoFilter ref="A6:C35"/>
  <tableColumns count="3">
    <tableColumn id="1" name="Expense" dataDxfId="3"/>
    <tableColumn id="2" name="Monthly amount (CZK)" dataDxfId="4"/>
    <tableColumn id="3" name="Notes" dataDxfId="3"/>
  </tableColumns>
  <tableStyleInfo name="TableStyleMedium2" showFirstColumn="0" showLastColumn="0" showRowStripes="1" showColumnStripes="0"/>
</table>
</file>

<file path=xl/tables/table3.xml><?xml version="1.0" encoding="utf-8"?>
<table xmlns="http://schemas.openxmlformats.org/spreadsheetml/2006/main" id="3" name="VodafoneBills" displayName="VodafoneBills" ref="A6:C126" totalsRowShown="0">
  <autoFilter ref="A6:C126"/>
  <tableColumns count="3">
    <tableColumn id="1" name="Budget month / date" dataDxfId="2"/>
    <tableColumn id="2" name="Amount (CZK)" dataDxfId="4"/>
    <tableColumn id="3" name="Note"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sheetPr>
    <tabColor rgb="FF1769AA"/>
    <pageSetUpPr fitToPage="1"/>
  </sheetPr>
  <dimension ref="B2:L33"/>
  <sheetViews>
    <sheetView showGridLines="0" tabSelected="1" workbookViewId="0">
      <selection activeCell="C5" sqref="C5"/>
    </sheetView>
  </sheetViews>
  <sheetFormatPr defaultRowHeight="15"/>
  <cols>
    <col min="1" max="1" width="3.7109375" customWidth="1"/>
    <col min="2" max="2" width="34.7109375" customWidth="1"/>
    <col min="3" max="3" width="23.7109375" customWidth="1"/>
    <col min="4" max="4" width="3.7109375" customWidth="1"/>
    <col min="5" max="12" width="12.7109375" customWidth="1"/>
  </cols>
  <sheetData>
    <row r="2" spans="2:12" ht="34" customHeight="1">
      <c r="B2" s="1" t="s">
        <v>0</v>
      </c>
      <c r="C2" s="1"/>
      <c r="D2" s="1"/>
      <c r="E2" s="1"/>
      <c r="F2" s="1"/>
      <c r="G2" s="1"/>
      <c r="H2" s="1"/>
      <c r="I2" s="1"/>
      <c r="J2" s="1"/>
      <c r="K2" s="1"/>
      <c r="L2" s="1"/>
    </row>
    <row r="3" spans="2:12">
      <c r="B3" s="2" t="s">
        <v>1</v>
      </c>
      <c r="C3" s="2"/>
      <c r="D3" s="2"/>
      <c r="E3" s="2"/>
      <c r="F3" s="2"/>
      <c r="G3" s="2"/>
      <c r="H3" s="2"/>
      <c r="I3" s="2"/>
      <c r="J3" s="2"/>
      <c r="K3" s="2"/>
      <c r="L3" s="2"/>
    </row>
    <row r="5" spans="2:12">
      <c r="B5" s="3" t="s">
        <v>2</v>
      </c>
      <c r="C5" s="4">
        <v>46296</v>
      </c>
    </row>
    <row r="6" spans="2:12">
      <c r="B6" s="3" t="s">
        <v>3</v>
      </c>
      <c r="C6" s="5">
        <v>0</v>
      </c>
    </row>
    <row r="9" spans="2:12" ht="38" customHeight="1">
      <c r="B9" s="3" t="s">
        <v>4</v>
      </c>
      <c r="C9" s="6">
        <f>SUMIFS('Daily entries'!$C$7:$C$2006,'Daily entries'!$A$7:$A$2006,"&gt;="&amp;MonthStart,'Daily entries'!$A$7:$A$2006,"&lt;"&amp;MonthEnd)</f>
        <v>0</v>
      </c>
    </row>
    <row r="11" spans="2:12" ht="38" customHeight="1">
      <c r="B11" s="3" t="s">
        <v>5</v>
      </c>
      <c r="C11" s="6">
        <f>SUMIFS('Daily entries'!$D$7:$D$2006,'Daily entries'!$A$7:$A$2006,"&gt;="&amp;MonthStart,'Daily entries'!$A$7:$A$2006,"&lt;"&amp;MonthEnd)</f>
        <v>0</v>
      </c>
    </row>
    <row r="13" spans="2:12" ht="38" customHeight="1">
      <c r="B13" s="3" t="s">
        <v>6</v>
      </c>
      <c r="C13" s="6">
        <f>FixedTotal</f>
        <v>30617</v>
      </c>
    </row>
    <row r="15" spans="2:12" ht="38" customHeight="1">
      <c r="B15" s="3" t="s">
        <v>7</v>
      </c>
      <c r="C15" s="6">
        <f>C6+C9-C11-C13</f>
        <v>-30617</v>
      </c>
    </row>
    <row r="18" spans="2:12">
      <c r="B18" s="7" t="s">
        <v>8</v>
      </c>
      <c r="C18" s="7"/>
    </row>
    <row r="19" spans="2:12">
      <c r="B19" s="7"/>
      <c r="C19" s="7"/>
    </row>
    <row r="20" spans="2:12">
      <c r="B20" s="7"/>
      <c r="C20" s="7"/>
    </row>
    <row r="21" spans="2:12">
      <c r="B21" s="7"/>
      <c r="C21" s="7"/>
    </row>
    <row r="23" spans="2:12">
      <c r="B23" s="3" t="s">
        <v>9</v>
      </c>
      <c r="C23" s="8">
        <f>FixedTotal/DAY(EOMONTH(MonthStart,0))</f>
        <v>987.6451612903226</v>
      </c>
    </row>
    <row r="25" spans="2:12">
      <c r="B25" s="7" t="s">
        <v>10</v>
      </c>
      <c r="C25" s="7"/>
    </row>
    <row r="26" spans="2:12">
      <c r="B26" s="7"/>
      <c r="C26" s="7"/>
      <c r="E26" s="7" t="s">
        <v>11</v>
      </c>
      <c r="F26" s="7"/>
      <c r="G26" s="7"/>
      <c r="H26" s="7"/>
      <c r="I26" s="7"/>
      <c r="J26" s="7"/>
      <c r="K26" s="7"/>
      <c r="L26" s="7"/>
    </row>
    <row r="27" spans="2:12">
      <c r="B27" s="7"/>
      <c r="C27" s="7"/>
      <c r="E27" s="7"/>
      <c r="F27" s="7"/>
      <c r="G27" s="7"/>
      <c r="H27" s="7"/>
      <c r="I27" s="7"/>
      <c r="J27" s="7"/>
      <c r="K27" s="7"/>
      <c r="L27" s="7"/>
    </row>
    <row r="28" spans="2:12">
      <c r="B28" s="7"/>
      <c r="C28" s="7"/>
      <c r="E28" s="7"/>
      <c r="F28" s="7"/>
      <c r="G28" s="7"/>
      <c r="H28" s="7"/>
      <c r="I28" s="7"/>
      <c r="J28" s="7"/>
      <c r="K28" s="7"/>
      <c r="L28" s="7"/>
    </row>
    <row r="30" spans="2:12">
      <c r="B30" s="3" t="s">
        <v>12</v>
      </c>
      <c r="C30" s="8">
        <f>VodafoneTotal</f>
        <v>0</v>
      </c>
    </row>
    <row r="31" spans="2:12">
      <c r="B31" s="3" t="s">
        <v>14</v>
      </c>
      <c r="C31" s="9" t="str">
        <f>IF(COUNTIFS('Vodafone bills'!$A$7:$A$126,"&gt;="&amp;MonthStart,'Vodafone bills'!$A$7:$A$126,"&lt;"&amp;MonthEnd,'Vodafone bills'!$B$7:$B$126,"&lt;&gt;")=0,"Amount needed","Included")</f>
        <v>Amount needed</v>
      </c>
    </row>
    <row r="32" spans="2:12">
      <c r="B32" s="7" t="s">
        <v>13</v>
      </c>
      <c r="C32" s="7"/>
      <c r="D32" s="7"/>
      <c r="E32" s="7"/>
      <c r="F32" s="7"/>
      <c r="G32" s="7"/>
      <c r="H32" s="7"/>
      <c r="I32" s="7"/>
      <c r="J32" s="7"/>
      <c r="K32" s="7"/>
      <c r="L32" s="7"/>
    </row>
    <row r="33" spans="2:12">
      <c r="B33" s="7"/>
      <c r="C33" s="7"/>
      <c r="D33" s="7"/>
      <c r="E33" s="7"/>
      <c r="F33" s="7"/>
      <c r="G33" s="7"/>
      <c r="H33" s="7"/>
      <c r="I33" s="7"/>
      <c r="J33" s="7"/>
      <c r="K33" s="7"/>
      <c r="L33" s="7"/>
    </row>
  </sheetData>
  <mergeCells count="6">
    <mergeCell ref="B2:L2"/>
    <mergeCell ref="B3:L3"/>
    <mergeCell ref="B18:C21"/>
    <mergeCell ref="B25:C28"/>
    <mergeCell ref="E26:L28"/>
    <mergeCell ref="B32:L33"/>
  </mergeCells>
  <conditionalFormatting sqref="C15">
    <cfRule type="cellIs" dxfId="0" priority="1" operator="lessThan">
      <formula>0</formula>
    </cfRule>
    <cfRule type="cellIs" dxfId="1" priority="2" operator="greaterThanOrEqual">
      <formula>0</formula>
    </cfRule>
  </conditionalFormatting>
  <dataValidations count="2">
    <dataValidation type="date" allowBlank="1" showInputMessage="1" showErrorMessage="1" errorTitle="Choose a valid date" error="Enter a date between 2000 and 2100." sqref="C5">
      <formula1>36526</formula1>
      <formula2>73415</formula2>
    </dataValidation>
    <dataValidation type="decimal" allowBlank="1" showInputMessage="1" showErrorMessage="1" sqref="C6">
      <formula1>-1000000000.0</formula1>
      <formula2>1000000000.0</formula2>
    </dataValidation>
  </dataValidations>
  <pageMargins left="0.3" right="0.3" top="0.4" bottom="0.4" header="0.3" footer="0.3"/>
  <pageSetup orientation="landscape"/>
  <headerFooter>
    <oddHeader>&amp;LIncome &amp; expenses · CZK&amp;R&amp;P / &amp;N</oddHeader>
    <oddFooter>&amp;LBlue cells = editable inputs</oddFooter>
  </headerFooter>
  <drawing r:id="rId1"/>
  <legacyDrawing r:id="rId2"/>
</worksheet>
</file>

<file path=xl/worksheets/sheet2.xml><?xml version="1.0" encoding="utf-8"?>
<worksheet xmlns="http://schemas.openxmlformats.org/spreadsheetml/2006/main" xmlns:r="http://schemas.openxmlformats.org/officeDocument/2006/relationships">
  <sheetPr>
    <tabColor rgb="FF1769AA"/>
    <pageSetUpPr fitToPage="1"/>
  </sheetPr>
  <dimension ref="A2:F2006"/>
  <sheetViews>
    <sheetView showGridLines="0" workbookViewId="0">
      <pane xSplit="2" ySplit="6" topLeftCell="C7" activePane="bottomRight" state="frozen"/>
      <selection pane="topRight" activeCell="C1" sqref="C1"/>
      <selection pane="bottomLeft" activeCell="A7" sqref="A7"/>
      <selection pane="bottomRight"/>
    </sheetView>
  </sheetViews>
  <sheetFormatPr defaultRowHeight="15"/>
  <cols>
    <col min="1" max="1" width="17.7109375" customWidth="1"/>
    <col min="2" max="2" width="22.7109375" customWidth="1"/>
    <col min="3" max="5" width="19.7109375" customWidth="1"/>
    <col min="6" max="6" width="44.7109375" customWidth="1"/>
  </cols>
  <sheetData>
    <row r="2" spans="1:6">
      <c r="A2" s="1" t="s">
        <v>15</v>
      </c>
      <c r="B2" s="1"/>
      <c r="C2" s="1"/>
      <c r="D2" s="1"/>
      <c r="E2" s="1"/>
      <c r="F2" s="1"/>
    </row>
    <row r="3" spans="1:6">
      <c r="A3" s="2" t="s">
        <v>16</v>
      </c>
      <c r="B3" s="2"/>
      <c r="C3" s="2"/>
      <c r="D3" s="2"/>
      <c r="E3" s="2"/>
      <c r="F3" s="2"/>
    </row>
    <row r="4" spans="1:6">
      <c r="A4" s="2"/>
      <c r="B4" s="2"/>
      <c r="C4" s="2"/>
      <c r="D4" s="2"/>
      <c r="E4" s="2"/>
      <c r="F4" s="2"/>
    </row>
    <row r="6" spans="1:6" ht="32" customHeight="1">
      <c r="A6" t="s">
        <v>17</v>
      </c>
      <c r="B6" t="s">
        <v>18</v>
      </c>
      <c r="C6" t="s">
        <v>19</v>
      </c>
      <c r="D6" t="s">
        <v>20</v>
      </c>
      <c r="E6" t="s">
        <v>21</v>
      </c>
      <c r="F6" t="s">
        <v>22</v>
      </c>
    </row>
    <row r="7" spans="1:6">
      <c r="E7" s="8">
        <f>IF(A7="","",N(C7)-N(D7))</f>
        <v/>
      </c>
    </row>
    <row r="8" spans="1:6">
      <c r="E8" s="8">
        <f>IF(A8="","",N(C8)-N(D8))</f>
        <v/>
      </c>
    </row>
    <row r="9" spans="1:6">
      <c r="E9" s="8">
        <f>IF(A9="","",N(C9)-N(D9))</f>
        <v/>
      </c>
    </row>
    <row r="10" spans="1:6">
      <c r="E10" s="8">
        <f>IF(A10="","",N(C10)-N(D10))</f>
        <v/>
      </c>
    </row>
    <row r="11" spans="1:6">
      <c r="E11" s="8">
        <f>IF(A11="","",N(C11)-N(D11))</f>
        <v/>
      </c>
    </row>
    <row r="12" spans="1:6">
      <c r="E12" s="8">
        <f>IF(A12="","",N(C12)-N(D12))</f>
        <v/>
      </c>
    </row>
    <row r="13" spans="1:6">
      <c r="E13" s="8">
        <f>IF(A13="","",N(C13)-N(D13))</f>
        <v/>
      </c>
    </row>
    <row r="14" spans="1:6">
      <c r="E14" s="8">
        <f>IF(A14="","",N(C14)-N(D14))</f>
        <v/>
      </c>
    </row>
    <row r="15" spans="1:6">
      <c r="E15" s="8">
        <f>IF(A15="","",N(C15)-N(D15))</f>
        <v/>
      </c>
    </row>
    <row r="16" spans="1:6">
      <c r="E16" s="8">
        <f>IF(A16="","",N(C16)-N(D16))</f>
        <v/>
      </c>
    </row>
    <row r="17" spans="5:5">
      <c r="E17" s="8">
        <f>IF(A17="","",N(C17)-N(D17))</f>
        <v/>
      </c>
    </row>
    <row r="18" spans="5:5">
      <c r="E18" s="8">
        <f>IF(A18="","",N(C18)-N(D18))</f>
        <v/>
      </c>
    </row>
    <row r="19" spans="5:5">
      <c r="E19" s="8">
        <f>IF(A19="","",N(C19)-N(D19))</f>
        <v/>
      </c>
    </row>
    <row r="20" spans="5:5">
      <c r="E20" s="8">
        <f>IF(A20="","",N(C20)-N(D20))</f>
        <v/>
      </c>
    </row>
    <row r="21" spans="5:5">
      <c r="E21" s="8">
        <f>IF(A21="","",N(C21)-N(D21))</f>
        <v/>
      </c>
    </row>
    <row r="22" spans="5:5">
      <c r="E22" s="8">
        <f>IF(A22="","",N(C22)-N(D22))</f>
        <v/>
      </c>
    </row>
    <row r="23" spans="5:5">
      <c r="E23" s="8">
        <f>IF(A23="","",N(C23)-N(D23))</f>
        <v/>
      </c>
    </row>
    <row r="24" spans="5:5">
      <c r="E24" s="8">
        <f>IF(A24="","",N(C24)-N(D24))</f>
        <v/>
      </c>
    </row>
    <row r="25" spans="5:5">
      <c r="E25" s="8">
        <f>IF(A25="","",N(C25)-N(D25))</f>
        <v/>
      </c>
    </row>
    <row r="26" spans="5:5">
      <c r="E26" s="8">
        <f>IF(A26="","",N(C26)-N(D26))</f>
        <v/>
      </c>
    </row>
    <row r="27" spans="5:5">
      <c r="E27" s="8">
        <f>IF(A27="","",N(C27)-N(D27))</f>
        <v/>
      </c>
    </row>
    <row r="28" spans="5:5">
      <c r="E28" s="8">
        <f>IF(A28="","",N(C28)-N(D28))</f>
        <v/>
      </c>
    </row>
    <row r="29" spans="5:5">
      <c r="E29" s="8">
        <f>IF(A29="","",N(C29)-N(D29))</f>
        <v/>
      </c>
    </row>
    <row r="30" spans="5:5">
      <c r="E30" s="8">
        <f>IF(A30="","",N(C30)-N(D30))</f>
        <v/>
      </c>
    </row>
    <row r="31" spans="5:5">
      <c r="E31" s="8">
        <f>IF(A31="","",N(C31)-N(D31))</f>
        <v/>
      </c>
    </row>
    <row r="32" spans="5:5">
      <c r="E32" s="8">
        <f>IF(A32="","",N(C32)-N(D32))</f>
        <v/>
      </c>
    </row>
    <row r="33" spans="5:5">
      <c r="E33" s="8">
        <f>IF(A33="","",N(C33)-N(D33))</f>
        <v/>
      </c>
    </row>
    <row r="34" spans="5:5">
      <c r="E34" s="8">
        <f>IF(A34="","",N(C34)-N(D34))</f>
        <v/>
      </c>
    </row>
    <row r="35" spans="5:5">
      <c r="E35" s="8">
        <f>IF(A35="","",N(C35)-N(D35))</f>
        <v/>
      </c>
    </row>
    <row r="36" spans="5:5">
      <c r="E36" s="8">
        <f>IF(A36="","",N(C36)-N(D36))</f>
        <v/>
      </c>
    </row>
    <row r="37" spans="5:5">
      <c r="E37" s="8">
        <f>IF(A37="","",N(C37)-N(D37))</f>
        <v/>
      </c>
    </row>
    <row r="38" spans="5:5">
      <c r="E38" s="8">
        <f>IF(A38="","",N(C38)-N(D38))</f>
        <v/>
      </c>
    </row>
    <row r="39" spans="5:5">
      <c r="E39" s="8">
        <f>IF(A39="","",N(C39)-N(D39))</f>
        <v/>
      </c>
    </row>
    <row r="40" spans="5:5">
      <c r="E40" s="8">
        <f>IF(A40="","",N(C40)-N(D40))</f>
        <v/>
      </c>
    </row>
    <row r="41" spans="5:5">
      <c r="E41" s="8">
        <f>IF(A41="","",N(C41)-N(D41))</f>
        <v/>
      </c>
    </row>
    <row r="42" spans="5:5">
      <c r="E42" s="8">
        <f>IF(A42="","",N(C42)-N(D42))</f>
        <v/>
      </c>
    </row>
    <row r="43" spans="5:5">
      <c r="E43" s="8">
        <f>IF(A43="","",N(C43)-N(D43))</f>
        <v/>
      </c>
    </row>
    <row r="44" spans="5:5">
      <c r="E44" s="8">
        <f>IF(A44="","",N(C44)-N(D44))</f>
        <v/>
      </c>
    </row>
    <row r="45" spans="5:5">
      <c r="E45" s="8">
        <f>IF(A45="","",N(C45)-N(D45))</f>
        <v/>
      </c>
    </row>
    <row r="46" spans="5:5">
      <c r="E46" s="8">
        <f>IF(A46="","",N(C46)-N(D46))</f>
        <v/>
      </c>
    </row>
    <row r="47" spans="5:5">
      <c r="E47" s="8">
        <f>IF(A47="","",N(C47)-N(D47))</f>
        <v/>
      </c>
    </row>
    <row r="48" spans="5:5">
      <c r="E48" s="8">
        <f>IF(A48="","",N(C48)-N(D48))</f>
        <v/>
      </c>
    </row>
    <row r="49" spans="5:5">
      <c r="E49" s="8">
        <f>IF(A49="","",N(C49)-N(D49))</f>
        <v/>
      </c>
    </row>
    <row r="50" spans="5:5">
      <c r="E50" s="8">
        <f>IF(A50="","",N(C50)-N(D50))</f>
        <v/>
      </c>
    </row>
    <row r="51" spans="5:5">
      <c r="E51" s="8">
        <f>IF(A51="","",N(C51)-N(D51))</f>
        <v/>
      </c>
    </row>
    <row r="52" spans="5:5">
      <c r="E52" s="8">
        <f>IF(A52="","",N(C52)-N(D52))</f>
        <v/>
      </c>
    </row>
    <row r="53" spans="5:5">
      <c r="E53" s="8">
        <f>IF(A53="","",N(C53)-N(D53))</f>
        <v/>
      </c>
    </row>
    <row r="54" spans="5:5">
      <c r="E54" s="8">
        <f>IF(A54="","",N(C54)-N(D54))</f>
        <v/>
      </c>
    </row>
    <row r="55" spans="5:5">
      <c r="E55" s="8">
        <f>IF(A55="","",N(C55)-N(D55))</f>
        <v/>
      </c>
    </row>
    <row r="56" spans="5:5">
      <c r="E56" s="8">
        <f>IF(A56="","",N(C56)-N(D56))</f>
        <v/>
      </c>
    </row>
    <row r="57" spans="5:5">
      <c r="E57" s="8">
        <f>IF(A57="","",N(C57)-N(D57))</f>
        <v/>
      </c>
    </row>
    <row r="58" spans="5:5">
      <c r="E58" s="8">
        <f>IF(A58="","",N(C58)-N(D58))</f>
        <v/>
      </c>
    </row>
    <row r="59" spans="5:5">
      <c r="E59" s="8">
        <f>IF(A59="","",N(C59)-N(D59))</f>
        <v/>
      </c>
    </row>
    <row r="60" spans="5:5">
      <c r="E60" s="8">
        <f>IF(A60="","",N(C60)-N(D60))</f>
        <v/>
      </c>
    </row>
    <row r="61" spans="5:5">
      <c r="E61" s="8">
        <f>IF(A61="","",N(C61)-N(D61))</f>
        <v/>
      </c>
    </row>
    <row r="62" spans="5:5">
      <c r="E62" s="8">
        <f>IF(A62="","",N(C62)-N(D62))</f>
        <v/>
      </c>
    </row>
    <row r="63" spans="5:5">
      <c r="E63" s="8">
        <f>IF(A63="","",N(C63)-N(D63))</f>
        <v/>
      </c>
    </row>
    <row r="64" spans="5:5">
      <c r="E64" s="8">
        <f>IF(A64="","",N(C64)-N(D64))</f>
        <v/>
      </c>
    </row>
    <row r="65" spans="5:5">
      <c r="E65" s="8">
        <f>IF(A65="","",N(C65)-N(D65))</f>
        <v/>
      </c>
    </row>
    <row r="66" spans="5:5">
      <c r="E66" s="8">
        <f>IF(A66="","",N(C66)-N(D66))</f>
        <v/>
      </c>
    </row>
    <row r="67" spans="5:5">
      <c r="E67" s="8">
        <f>IF(A67="","",N(C67)-N(D67))</f>
        <v/>
      </c>
    </row>
    <row r="68" spans="5:5">
      <c r="E68" s="8">
        <f>IF(A68="","",N(C68)-N(D68))</f>
        <v/>
      </c>
    </row>
    <row r="69" spans="5:5">
      <c r="E69" s="8">
        <f>IF(A69="","",N(C69)-N(D69))</f>
        <v/>
      </c>
    </row>
    <row r="70" spans="5:5">
      <c r="E70" s="8">
        <f>IF(A70="","",N(C70)-N(D70))</f>
        <v/>
      </c>
    </row>
    <row r="71" spans="5:5">
      <c r="E71" s="8">
        <f>IF(A71="","",N(C71)-N(D71))</f>
        <v/>
      </c>
    </row>
    <row r="72" spans="5:5">
      <c r="E72" s="8">
        <f>IF(A72="","",N(C72)-N(D72))</f>
        <v/>
      </c>
    </row>
    <row r="73" spans="5:5">
      <c r="E73" s="8">
        <f>IF(A73="","",N(C73)-N(D73))</f>
        <v/>
      </c>
    </row>
    <row r="74" spans="5:5">
      <c r="E74" s="8">
        <f>IF(A74="","",N(C74)-N(D74))</f>
        <v/>
      </c>
    </row>
    <row r="75" spans="5:5">
      <c r="E75" s="8">
        <f>IF(A75="","",N(C75)-N(D75))</f>
        <v/>
      </c>
    </row>
    <row r="76" spans="5:5">
      <c r="E76" s="8">
        <f>IF(A76="","",N(C76)-N(D76))</f>
        <v/>
      </c>
    </row>
    <row r="77" spans="5:5">
      <c r="E77" s="8">
        <f>IF(A77="","",N(C77)-N(D77))</f>
        <v/>
      </c>
    </row>
    <row r="78" spans="5:5">
      <c r="E78" s="8">
        <f>IF(A78="","",N(C78)-N(D78))</f>
        <v/>
      </c>
    </row>
    <row r="79" spans="5:5">
      <c r="E79" s="8">
        <f>IF(A79="","",N(C79)-N(D79))</f>
        <v/>
      </c>
    </row>
    <row r="80" spans="5:5">
      <c r="E80" s="8">
        <f>IF(A80="","",N(C80)-N(D80))</f>
        <v/>
      </c>
    </row>
    <row r="81" spans="5:5">
      <c r="E81" s="8">
        <f>IF(A81="","",N(C81)-N(D81))</f>
        <v/>
      </c>
    </row>
    <row r="82" spans="5:5">
      <c r="E82" s="8">
        <f>IF(A82="","",N(C82)-N(D82))</f>
        <v/>
      </c>
    </row>
    <row r="83" spans="5:5">
      <c r="E83" s="8">
        <f>IF(A83="","",N(C83)-N(D83))</f>
        <v/>
      </c>
    </row>
    <row r="84" spans="5:5">
      <c r="E84" s="8">
        <f>IF(A84="","",N(C84)-N(D84))</f>
        <v/>
      </c>
    </row>
    <row r="85" spans="5:5">
      <c r="E85" s="8">
        <f>IF(A85="","",N(C85)-N(D85))</f>
        <v/>
      </c>
    </row>
    <row r="86" spans="5:5">
      <c r="E86" s="8">
        <f>IF(A86="","",N(C86)-N(D86))</f>
        <v/>
      </c>
    </row>
    <row r="87" spans="5:5">
      <c r="E87" s="8">
        <f>IF(A87="","",N(C87)-N(D87))</f>
        <v/>
      </c>
    </row>
    <row r="88" spans="5:5">
      <c r="E88" s="8">
        <f>IF(A88="","",N(C88)-N(D88))</f>
        <v/>
      </c>
    </row>
    <row r="89" spans="5:5">
      <c r="E89" s="8">
        <f>IF(A89="","",N(C89)-N(D89))</f>
        <v/>
      </c>
    </row>
    <row r="90" spans="5:5">
      <c r="E90" s="8">
        <f>IF(A90="","",N(C90)-N(D90))</f>
        <v/>
      </c>
    </row>
    <row r="91" spans="5:5">
      <c r="E91" s="8">
        <f>IF(A91="","",N(C91)-N(D91))</f>
        <v/>
      </c>
    </row>
    <row r="92" spans="5:5">
      <c r="E92" s="8">
        <f>IF(A92="","",N(C92)-N(D92))</f>
        <v/>
      </c>
    </row>
    <row r="93" spans="5:5">
      <c r="E93" s="8">
        <f>IF(A93="","",N(C93)-N(D93))</f>
        <v/>
      </c>
    </row>
    <row r="94" spans="5:5">
      <c r="E94" s="8">
        <f>IF(A94="","",N(C94)-N(D94))</f>
        <v/>
      </c>
    </row>
    <row r="95" spans="5:5">
      <c r="E95" s="8">
        <f>IF(A95="","",N(C95)-N(D95))</f>
        <v/>
      </c>
    </row>
    <row r="96" spans="5:5">
      <c r="E96" s="8">
        <f>IF(A96="","",N(C96)-N(D96))</f>
        <v/>
      </c>
    </row>
    <row r="97" spans="5:5">
      <c r="E97" s="8">
        <f>IF(A97="","",N(C97)-N(D97))</f>
        <v/>
      </c>
    </row>
    <row r="98" spans="5:5">
      <c r="E98" s="8">
        <f>IF(A98="","",N(C98)-N(D98))</f>
        <v/>
      </c>
    </row>
    <row r="99" spans="5:5">
      <c r="E99" s="8">
        <f>IF(A99="","",N(C99)-N(D99))</f>
        <v/>
      </c>
    </row>
    <row r="100" spans="5:5">
      <c r="E100" s="8">
        <f>IF(A100="","",N(C100)-N(D100))</f>
        <v/>
      </c>
    </row>
    <row r="101" spans="5:5">
      <c r="E101" s="8">
        <f>IF(A101="","",N(C101)-N(D101))</f>
        <v/>
      </c>
    </row>
    <row r="102" spans="5:5">
      <c r="E102" s="8">
        <f>IF(A102="","",N(C102)-N(D102))</f>
        <v/>
      </c>
    </row>
    <row r="103" spans="5:5">
      <c r="E103" s="8">
        <f>IF(A103="","",N(C103)-N(D103))</f>
        <v/>
      </c>
    </row>
    <row r="104" spans="5:5">
      <c r="E104" s="8">
        <f>IF(A104="","",N(C104)-N(D104))</f>
        <v/>
      </c>
    </row>
    <row r="105" spans="5:5">
      <c r="E105" s="8">
        <f>IF(A105="","",N(C105)-N(D105))</f>
        <v/>
      </c>
    </row>
    <row r="106" spans="5:5">
      <c r="E106" s="8">
        <f>IF(A106="","",N(C106)-N(D106))</f>
        <v/>
      </c>
    </row>
    <row r="107" spans="5:5">
      <c r="E107" s="8">
        <f>IF(A107="","",N(C107)-N(D107))</f>
        <v/>
      </c>
    </row>
    <row r="108" spans="5:5">
      <c r="E108" s="8">
        <f>IF(A108="","",N(C108)-N(D108))</f>
        <v/>
      </c>
    </row>
    <row r="109" spans="5:5">
      <c r="E109" s="8">
        <f>IF(A109="","",N(C109)-N(D109))</f>
        <v/>
      </c>
    </row>
    <row r="110" spans="5:5">
      <c r="E110" s="8">
        <f>IF(A110="","",N(C110)-N(D110))</f>
        <v/>
      </c>
    </row>
    <row r="111" spans="5:5">
      <c r="E111" s="8">
        <f>IF(A111="","",N(C111)-N(D111))</f>
        <v/>
      </c>
    </row>
    <row r="112" spans="5:5">
      <c r="E112" s="8">
        <f>IF(A112="","",N(C112)-N(D112))</f>
        <v/>
      </c>
    </row>
    <row r="113" spans="5:5">
      <c r="E113" s="8">
        <f>IF(A113="","",N(C113)-N(D113))</f>
        <v/>
      </c>
    </row>
    <row r="114" spans="5:5">
      <c r="E114" s="8">
        <f>IF(A114="","",N(C114)-N(D114))</f>
        <v/>
      </c>
    </row>
    <row r="115" spans="5:5">
      <c r="E115" s="8">
        <f>IF(A115="","",N(C115)-N(D115))</f>
        <v/>
      </c>
    </row>
    <row r="116" spans="5:5">
      <c r="E116" s="8">
        <f>IF(A116="","",N(C116)-N(D116))</f>
        <v/>
      </c>
    </row>
    <row r="117" spans="5:5">
      <c r="E117" s="8">
        <f>IF(A117="","",N(C117)-N(D117))</f>
        <v/>
      </c>
    </row>
    <row r="118" spans="5:5">
      <c r="E118" s="8">
        <f>IF(A118="","",N(C118)-N(D118))</f>
        <v/>
      </c>
    </row>
    <row r="119" spans="5:5">
      <c r="E119" s="8">
        <f>IF(A119="","",N(C119)-N(D119))</f>
        <v/>
      </c>
    </row>
    <row r="120" spans="5:5">
      <c r="E120" s="8">
        <f>IF(A120="","",N(C120)-N(D120))</f>
        <v/>
      </c>
    </row>
    <row r="121" spans="5:5">
      <c r="E121" s="8">
        <f>IF(A121="","",N(C121)-N(D121))</f>
        <v/>
      </c>
    </row>
    <row r="122" spans="5:5">
      <c r="E122" s="8">
        <f>IF(A122="","",N(C122)-N(D122))</f>
        <v/>
      </c>
    </row>
    <row r="123" spans="5:5">
      <c r="E123" s="8">
        <f>IF(A123="","",N(C123)-N(D123))</f>
        <v/>
      </c>
    </row>
    <row r="124" spans="5:5">
      <c r="E124" s="8">
        <f>IF(A124="","",N(C124)-N(D124))</f>
        <v/>
      </c>
    </row>
    <row r="125" spans="5:5">
      <c r="E125" s="8">
        <f>IF(A125="","",N(C125)-N(D125))</f>
        <v/>
      </c>
    </row>
    <row r="126" spans="5:5">
      <c r="E126" s="8">
        <f>IF(A126="","",N(C126)-N(D126))</f>
        <v/>
      </c>
    </row>
    <row r="127" spans="5:5">
      <c r="E127" s="8">
        <f>IF(A127="","",N(C127)-N(D127))</f>
        <v/>
      </c>
    </row>
    <row r="128" spans="5:5">
      <c r="E128" s="8">
        <f>IF(A128="","",N(C128)-N(D128))</f>
        <v/>
      </c>
    </row>
    <row r="129" spans="5:5">
      <c r="E129" s="8">
        <f>IF(A129="","",N(C129)-N(D129))</f>
        <v/>
      </c>
    </row>
    <row r="130" spans="5:5">
      <c r="E130" s="8">
        <f>IF(A130="","",N(C130)-N(D130))</f>
        <v/>
      </c>
    </row>
    <row r="131" spans="5:5">
      <c r="E131" s="8">
        <f>IF(A131="","",N(C131)-N(D131))</f>
        <v/>
      </c>
    </row>
    <row r="132" spans="5:5">
      <c r="E132" s="8">
        <f>IF(A132="","",N(C132)-N(D132))</f>
        <v/>
      </c>
    </row>
    <row r="133" spans="5:5">
      <c r="E133" s="8">
        <f>IF(A133="","",N(C133)-N(D133))</f>
        <v/>
      </c>
    </row>
    <row r="134" spans="5:5">
      <c r="E134" s="8">
        <f>IF(A134="","",N(C134)-N(D134))</f>
        <v/>
      </c>
    </row>
    <row r="135" spans="5:5">
      <c r="E135" s="8">
        <f>IF(A135="","",N(C135)-N(D135))</f>
        <v/>
      </c>
    </row>
    <row r="136" spans="5:5">
      <c r="E136" s="8">
        <f>IF(A136="","",N(C136)-N(D136))</f>
        <v/>
      </c>
    </row>
    <row r="137" spans="5:5">
      <c r="E137" s="8">
        <f>IF(A137="","",N(C137)-N(D137))</f>
        <v/>
      </c>
    </row>
    <row r="138" spans="5:5">
      <c r="E138" s="8">
        <f>IF(A138="","",N(C138)-N(D138))</f>
        <v/>
      </c>
    </row>
    <row r="139" spans="5:5">
      <c r="E139" s="8">
        <f>IF(A139="","",N(C139)-N(D139))</f>
        <v/>
      </c>
    </row>
    <row r="140" spans="5:5">
      <c r="E140" s="8">
        <f>IF(A140="","",N(C140)-N(D140))</f>
        <v/>
      </c>
    </row>
    <row r="141" spans="5:5">
      <c r="E141" s="8">
        <f>IF(A141="","",N(C141)-N(D141))</f>
        <v/>
      </c>
    </row>
    <row r="142" spans="5:5">
      <c r="E142" s="8">
        <f>IF(A142="","",N(C142)-N(D142))</f>
        <v/>
      </c>
    </row>
    <row r="143" spans="5:5">
      <c r="E143" s="8">
        <f>IF(A143="","",N(C143)-N(D143))</f>
        <v/>
      </c>
    </row>
    <row r="144" spans="5:5">
      <c r="E144" s="8">
        <f>IF(A144="","",N(C144)-N(D144))</f>
        <v/>
      </c>
    </row>
    <row r="145" spans="5:5">
      <c r="E145" s="8">
        <f>IF(A145="","",N(C145)-N(D145))</f>
        <v/>
      </c>
    </row>
    <row r="146" spans="5:5">
      <c r="E146" s="8">
        <f>IF(A146="","",N(C146)-N(D146))</f>
        <v/>
      </c>
    </row>
    <row r="147" spans="5:5">
      <c r="E147" s="8">
        <f>IF(A147="","",N(C147)-N(D147))</f>
        <v/>
      </c>
    </row>
    <row r="148" spans="5:5">
      <c r="E148" s="8">
        <f>IF(A148="","",N(C148)-N(D148))</f>
        <v/>
      </c>
    </row>
    <row r="149" spans="5:5">
      <c r="E149" s="8">
        <f>IF(A149="","",N(C149)-N(D149))</f>
        <v/>
      </c>
    </row>
    <row r="150" spans="5:5">
      <c r="E150" s="8">
        <f>IF(A150="","",N(C150)-N(D150))</f>
        <v/>
      </c>
    </row>
    <row r="151" spans="5:5">
      <c r="E151" s="8">
        <f>IF(A151="","",N(C151)-N(D151))</f>
        <v/>
      </c>
    </row>
    <row r="152" spans="5:5">
      <c r="E152" s="8">
        <f>IF(A152="","",N(C152)-N(D152))</f>
        <v/>
      </c>
    </row>
    <row r="153" spans="5:5">
      <c r="E153" s="8">
        <f>IF(A153="","",N(C153)-N(D153))</f>
        <v/>
      </c>
    </row>
    <row r="154" spans="5:5">
      <c r="E154" s="8">
        <f>IF(A154="","",N(C154)-N(D154))</f>
        <v/>
      </c>
    </row>
    <row r="155" spans="5:5">
      <c r="E155" s="8">
        <f>IF(A155="","",N(C155)-N(D155))</f>
        <v/>
      </c>
    </row>
    <row r="156" spans="5:5">
      <c r="E156" s="8">
        <f>IF(A156="","",N(C156)-N(D156))</f>
        <v/>
      </c>
    </row>
    <row r="157" spans="5:5">
      <c r="E157" s="8">
        <f>IF(A157="","",N(C157)-N(D157))</f>
        <v/>
      </c>
    </row>
    <row r="158" spans="5:5">
      <c r="E158" s="8">
        <f>IF(A158="","",N(C158)-N(D158))</f>
        <v/>
      </c>
    </row>
    <row r="159" spans="5:5">
      <c r="E159" s="8">
        <f>IF(A159="","",N(C159)-N(D159))</f>
        <v/>
      </c>
    </row>
    <row r="160" spans="5:5">
      <c r="E160" s="8">
        <f>IF(A160="","",N(C160)-N(D160))</f>
        <v/>
      </c>
    </row>
    <row r="161" spans="5:5">
      <c r="E161" s="8">
        <f>IF(A161="","",N(C161)-N(D161))</f>
        <v/>
      </c>
    </row>
    <row r="162" spans="5:5">
      <c r="E162" s="8">
        <f>IF(A162="","",N(C162)-N(D162))</f>
        <v/>
      </c>
    </row>
    <row r="163" spans="5:5">
      <c r="E163" s="8">
        <f>IF(A163="","",N(C163)-N(D163))</f>
        <v/>
      </c>
    </row>
    <row r="164" spans="5:5">
      <c r="E164" s="8">
        <f>IF(A164="","",N(C164)-N(D164))</f>
        <v/>
      </c>
    </row>
    <row r="165" spans="5:5">
      <c r="E165" s="8">
        <f>IF(A165="","",N(C165)-N(D165))</f>
        <v/>
      </c>
    </row>
    <row r="166" spans="5:5">
      <c r="E166" s="8">
        <f>IF(A166="","",N(C166)-N(D166))</f>
        <v/>
      </c>
    </row>
    <row r="167" spans="5:5">
      <c r="E167" s="8">
        <f>IF(A167="","",N(C167)-N(D167))</f>
        <v/>
      </c>
    </row>
    <row r="168" spans="5:5">
      <c r="E168" s="8">
        <f>IF(A168="","",N(C168)-N(D168))</f>
        <v/>
      </c>
    </row>
    <row r="169" spans="5:5">
      <c r="E169" s="8">
        <f>IF(A169="","",N(C169)-N(D169))</f>
        <v/>
      </c>
    </row>
    <row r="170" spans="5:5">
      <c r="E170" s="8">
        <f>IF(A170="","",N(C170)-N(D170))</f>
        <v/>
      </c>
    </row>
    <row r="171" spans="5:5">
      <c r="E171" s="8">
        <f>IF(A171="","",N(C171)-N(D171))</f>
        <v/>
      </c>
    </row>
    <row r="172" spans="5:5">
      <c r="E172" s="8">
        <f>IF(A172="","",N(C172)-N(D172))</f>
        <v/>
      </c>
    </row>
    <row r="173" spans="5:5">
      <c r="E173" s="8">
        <f>IF(A173="","",N(C173)-N(D173))</f>
        <v/>
      </c>
    </row>
    <row r="174" spans="5:5">
      <c r="E174" s="8">
        <f>IF(A174="","",N(C174)-N(D174))</f>
        <v/>
      </c>
    </row>
    <row r="175" spans="5:5">
      <c r="E175" s="8">
        <f>IF(A175="","",N(C175)-N(D175))</f>
        <v/>
      </c>
    </row>
    <row r="176" spans="5:5">
      <c r="E176" s="8">
        <f>IF(A176="","",N(C176)-N(D176))</f>
        <v/>
      </c>
    </row>
    <row r="177" spans="5:5">
      <c r="E177" s="8">
        <f>IF(A177="","",N(C177)-N(D177))</f>
        <v/>
      </c>
    </row>
    <row r="178" spans="5:5">
      <c r="E178" s="8">
        <f>IF(A178="","",N(C178)-N(D178))</f>
        <v/>
      </c>
    </row>
    <row r="179" spans="5:5">
      <c r="E179" s="8">
        <f>IF(A179="","",N(C179)-N(D179))</f>
        <v/>
      </c>
    </row>
    <row r="180" spans="5:5">
      <c r="E180" s="8">
        <f>IF(A180="","",N(C180)-N(D180))</f>
        <v/>
      </c>
    </row>
    <row r="181" spans="5:5">
      <c r="E181" s="8">
        <f>IF(A181="","",N(C181)-N(D181))</f>
        <v/>
      </c>
    </row>
    <row r="182" spans="5:5">
      <c r="E182" s="8">
        <f>IF(A182="","",N(C182)-N(D182))</f>
        <v/>
      </c>
    </row>
    <row r="183" spans="5:5">
      <c r="E183" s="8">
        <f>IF(A183="","",N(C183)-N(D183))</f>
        <v/>
      </c>
    </row>
    <row r="184" spans="5:5">
      <c r="E184" s="8">
        <f>IF(A184="","",N(C184)-N(D184))</f>
        <v/>
      </c>
    </row>
    <row r="185" spans="5:5">
      <c r="E185" s="8">
        <f>IF(A185="","",N(C185)-N(D185))</f>
        <v/>
      </c>
    </row>
    <row r="186" spans="5:5">
      <c r="E186" s="8">
        <f>IF(A186="","",N(C186)-N(D186))</f>
        <v/>
      </c>
    </row>
    <row r="187" spans="5:5">
      <c r="E187" s="8">
        <f>IF(A187="","",N(C187)-N(D187))</f>
        <v/>
      </c>
    </row>
    <row r="188" spans="5:5">
      <c r="E188" s="8">
        <f>IF(A188="","",N(C188)-N(D188))</f>
        <v/>
      </c>
    </row>
    <row r="189" spans="5:5">
      <c r="E189" s="8">
        <f>IF(A189="","",N(C189)-N(D189))</f>
        <v/>
      </c>
    </row>
    <row r="190" spans="5:5">
      <c r="E190" s="8">
        <f>IF(A190="","",N(C190)-N(D190))</f>
        <v/>
      </c>
    </row>
    <row r="191" spans="5:5">
      <c r="E191" s="8">
        <f>IF(A191="","",N(C191)-N(D191))</f>
        <v/>
      </c>
    </row>
    <row r="192" spans="5:5">
      <c r="E192" s="8">
        <f>IF(A192="","",N(C192)-N(D192))</f>
        <v/>
      </c>
    </row>
    <row r="193" spans="5:5">
      <c r="E193" s="8">
        <f>IF(A193="","",N(C193)-N(D193))</f>
        <v/>
      </c>
    </row>
    <row r="194" spans="5:5">
      <c r="E194" s="8">
        <f>IF(A194="","",N(C194)-N(D194))</f>
        <v/>
      </c>
    </row>
    <row r="195" spans="5:5">
      <c r="E195" s="8">
        <f>IF(A195="","",N(C195)-N(D195))</f>
        <v/>
      </c>
    </row>
    <row r="196" spans="5:5">
      <c r="E196" s="8">
        <f>IF(A196="","",N(C196)-N(D196))</f>
        <v/>
      </c>
    </row>
    <row r="197" spans="5:5">
      <c r="E197" s="8">
        <f>IF(A197="","",N(C197)-N(D197))</f>
        <v/>
      </c>
    </row>
    <row r="198" spans="5:5">
      <c r="E198" s="8">
        <f>IF(A198="","",N(C198)-N(D198))</f>
        <v/>
      </c>
    </row>
    <row r="199" spans="5:5">
      <c r="E199" s="8">
        <f>IF(A199="","",N(C199)-N(D199))</f>
        <v/>
      </c>
    </row>
    <row r="200" spans="5:5">
      <c r="E200" s="8">
        <f>IF(A200="","",N(C200)-N(D200))</f>
        <v/>
      </c>
    </row>
    <row r="201" spans="5:5">
      <c r="E201" s="8">
        <f>IF(A201="","",N(C201)-N(D201))</f>
        <v/>
      </c>
    </row>
    <row r="202" spans="5:5">
      <c r="E202" s="8">
        <f>IF(A202="","",N(C202)-N(D202))</f>
        <v/>
      </c>
    </row>
    <row r="203" spans="5:5">
      <c r="E203" s="8">
        <f>IF(A203="","",N(C203)-N(D203))</f>
        <v/>
      </c>
    </row>
    <row r="204" spans="5:5">
      <c r="E204" s="8">
        <f>IF(A204="","",N(C204)-N(D204))</f>
        <v/>
      </c>
    </row>
    <row r="205" spans="5:5">
      <c r="E205" s="8">
        <f>IF(A205="","",N(C205)-N(D205))</f>
        <v/>
      </c>
    </row>
    <row r="206" spans="5:5">
      <c r="E206" s="8">
        <f>IF(A206="","",N(C206)-N(D206))</f>
        <v/>
      </c>
    </row>
    <row r="207" spans="5:5">
      <c r="E207" s="8">
        <f>IF(A207="","",N(C207)-N(D207))</f>
        <v/>
      </c>
    </row>
    <row r="208" spans="5:5">
      <c r="E208" s="8">
        <f>IF(A208="","",N(C208)-N(D208))</f>
        <v/>
      </c>
    </row>
    <row r="209" spans="5:5">
      <c r="E209" s="8">
        <f>IF(A209="","",N(C209)-N(D209))</f>
        <v/>
      </c>
    </row>
    <row r="210" spans="5:5">
      <c r="E210" s="8">
        <f>IF(A210="","",N(C210)-N(D210))</f>
        <v/>
      </c>
    </row>
    <row r="211" spans="5:5">
      <c r="E211" s="8">
        <f>IF(A211="","",N(C211)-N(D211))</f>
        <v/>
      </c>
    </row>
    <row r="212" spans="5:5">
      <c r="E212" s="8">
        <f>IF(A212="","",N(C212)-N(D212))</f>
        <v/>
      </c>
    </row>
    <row r="213" spans="5:5">
      <c r="E213" s="8">
        <f>IF(A213="","",N(C213)-N(D213))</f>
        <v/>
      </c>
    </row>
    <row r="214" spans="5:5">
      <c r="E214" s="8">
        <f>IF(A214="","",N(C214)-N(D214))</f>
        <v/>
      </c>
    </row>
    <row r="215" spans="5:5">
      <c r="E215" s="8">
        <f>IF(A215="","",N(C215)-N(D215))</f>
        <v/>
      </c>
    </row>
    <row r="216" spans="5:5">
      <c r="E216" s="8">
        <f>IF(A216="","",N(C216)-N(D216))</f>
        <v/>
      </c>
    </row>
    <row r="217" spans="5:5">
      <c r="E217" s="8">
        <f>IF(A217="","",N(C217)-N(D217))</f>
        <v/>
      </c>
    </row>
    <row r="218" spans="5:5">
      <c r="E218" s="8">
        <f>IF(A218="","",N(C218)-N(D218))</f>
        <v/>
      </c>
    </row>
    <row r="219" spans="5:5">
      <c r="E219" s="8">
        <f>IF(A219="","",N(C219)-N(D219))</f>
        <v/>
      </c>
    </row>
    <row r="220" spans="5:5">
      <c r="E220" s="8">
        <f>IF(A220="","",N(C220)-N(D220))</f>
        <v/>
      </c>
    </row>
    <row r="221" spans="5:5">
      <c r="E221" s="8">
        <f>IF(A221="","",N(C221)-N(D221))</f>
        <v/>
      </c>
    </row>
    <row r="222" spans="5:5">
      <c r="E222" s="8">
        <f>IF(A222="","",N(C222)-N(D222))</f>
        <v/>
      </c>
    </row>
    <row r="223" spans="5:5">
      <c r="E223" s="8">
        <f>IF(A223="","",N(C223)-N(D223))</f>
        <v/>
      </c>
    </row>
    <row r="224" spans="5:5">
      <c r="E224" s="8">
        <f>IF(A224="","",N(C224)-N(D224))</f>
        <v/>
      </c>
    </row>
    <row r="225" spans="5:5">
      <c r="E225" s="8">
        <f>IF(A225="","",N(C225)-N(D225))</f>
        <v/>
      </c>
    </row>
    <row r="226" spans="5:5">
      <c r="E226" s="8">
        <f>IF(A226="","",N(C226)-N(D226))</f>
        <v/>
      </c>
    </row>
    <row r="227" spans="5:5">
      <c r="E227" s="8">
        <f>IF(A227="","",N(C227)-N(D227))</f>
        <v/>
      </c>
    </row>
    <row r="228" spans="5:5">
      <c r="E228" s="8">
        <f>IF(A228="","",N(C228)-N(D228))</f>
        <v/>
      </c>
    </row>
    <row r="229" spans="5:5">
      <c r="E229" s="8">
        <f>IF(A229="","",N(C229)-N(D229))</f>
        <v/>
      </c>
    </row>
    <row r="230" spans="5:5">
      <c r="E230" s="8">
        <f>IF(A230="","",N(C230)-N(D230))</f>
        <v/>
      </c>
    </row>
    <row r="231" spans="5:5">
      <c r="E231" s="8">
        <f>IF(A231="","",N(C231)-N(D231))</f>
        <v/>
      </c>
    </row>
    <row r="232" spans="5:5">
      <c r="E232" s="8">
        <f>IF(A232="","",N(C232)-N(D232))</f>
        <v/>
      </c>
    </row>
    <row r="233" spans="5:5">
      <c r="E233" s="8">
        <f>IF(A233="","",N(C233)-N(D233))</f>
        <v/>
      </c>
    </row>
    <row r="234" spans="5:5">
      <c r="E234" s="8">
        <f>IF(A234="","",N(C234)-N(D234))</f>
        <v/>
      </c>
    </row>
    <row r="235" spans="5:5">
      <c r="E235" s="8">
        <f>IF(A235="","",N(C235)-N(D235))</f>
        <v/>
      </c>
    </row>
    <row r="236" spans="5:5">
      <c r="E236" s="8">
        <f>IF(A236="","",N(C236)-N(D236))</f>
        <v/>
      </c>
    </row>
    <row r="237" spans="5:5">
      <c r="E237" s="8">
        <f>IF(A237="","",N(C237)-N(D237))</f>
        <v/>
      </c>
    </row>
    <row r="238" spans="5:5">
      <c r="E238" s="8">
        <f>IF(A238="","",N(C238)-N(D238))</f>
        <v/>
      </c>
    </row>
    <row r="239" spans="5:5">
      <c r="E239" s="8">
        <f>IF(A239="","",N(C239)-N(D239))</f>
        <v/>
      </c>
    </row>
    <row r="240" spans="5:5">
      <c r="E240" s="8">
        <f>IF(A240="","",N(C240)-N(D240))</f>
        <v/>
      </c>
    </row>
    <row r="241" spans="5:5">
      <c r="E241" s="8">
        <f>IF(A241="","",N(C241)-N(D241))</f>
        <v/>
      </c>
    </row>
    <row r="242" spans="5:5">
      <c r="E242" s="8">
        <f>IF(A242="","",N(C242)-N(D242))</f>
        <v/>
      </c>
    </row>
    <row r="243" spans="5:5">
      <c r="E243" s="8">
        <f>IF(A243="","",N(C243)-N(D243))</f>
        <v/>
      </c>
    </row>
    <row r="244" spans="5:5">
      <c r="E244" s="8">
        <f>IF(A244="","",N(C244)-N(D244))</f>
        <v/>
      </c>
    </row>
    <row r="245" spans="5:5">
      <c r="E245" s="8">
        <f>IF(A245="","",N(C245)-N(D245))</f>
        <v/>
      </c>
    </row>
    <row r="246" spans="5:5">
      <c r="E246" s="8">
        <f>IF(A246="","",N(C246)-N(D246))</f>
        <v/>
      </c>
    </row>
    <row r="247" spans="5:5">
      <c r="E247" s="8">
        <f>IF(A247="","",N(C247)-N(D247))</f>
        <v/>
      </c>
    </row>
    <row r="248" spans="5:5">
      <c r="E248" s="8">
        <f>IF(A248="","",N(C248)-N(D248))</f>
        <v/>
      </c>
    </row>
    <row r="249" spans="5:5">
      <c r="E249" s="8">
        <f>IF(A249="","",N(C249)-N(D249))</f>
        <v/>
      </c>
    </row>
    <row r="250" spans="5:5">
      <c r="E250" s="8">
        <f>IF(A250="","",N(C250)-N(D250))</f>
        <v/>
      </c>
    </row>
    <row r="251" spans="5:5">
      <c r="E251" s="8">
        <f>IF(A251="","",N(C251)-N(D251))</f>
        <v/>
      </c>
    </row>
    <row r="252" spans="5:5">
      <c r="E252" s="8">
        <f>IF(A252="","",N(C252)-N(D252))</f>
        <v/>
      </c>
    </row>
    <row r="253" spans="5:5">
      <c r="E253" s="8">
        <f>IF(A253="","",N(C253)-N(D253))</f>
        <v/>
      </c>
    </row>
    <row r="254" spans="5:5">
      <c r="E254" s="8">
        <f>IF(A254="","",N(C254)-N(D254))</f>
        <v/>
      </c>
    </row>
    <row r="255" spans="5:5">
      <c r="E255" s="8">
        <f>IF(A255="","",N(C255)-N(D255))</f>
        <v/>
      </c>
    </row>
    <row r="256" spans="5:5">
      <c r="E256" s="8">
        <f>IF(A256="","",N(C256)-N(D256))</f>
        <v/>
      </c>
    </row>
    <row r="257" spans="5:5">
      <c r="E257" s="8">
        <f>IF(A257="","",N(C257)-N(D257))</f>
        <v/>
      </c>
    </row>
    <row r="258" spans="5:5">
      <c r="E258" s="8">
        <f>IF(A258="","",N(C258)-N(D258))</f>
        <v/>
      </c>
    </row>
    <row r="259" spans="5:5">
      <c r="E259" s="8">
        <f>IF(A259="","",N(C259)-N(D259))</f>
        <v/>
      </c>
    </row>
    <row r="260" spans="5:5">
      <c r="E260" s="8">
        <f>IF(A260="","",N(C260)-N(D260))</f>
        <v/>
      </c>
    </row>
    <row r="261" spans="5:5">
      <c r="E261" s="8">
        <f>IF(A261="","",N(C261)-N(D261))</f>
        <v/>
      </c>
    </row>
    <row r="262" spans="5:5">
      <c r="E262" s="8">
        <f>IF(A262="","",N(C262)-N(D262))</f>
        <v/>
      </c>
    </row>
    <row r="263" spans="5:5">
      <c r="E263" s="8">
        <f>IF(A263="","",N(C263)-N(D263))</f>
        <v/>
      </c>
    </row>
    <row r="264" spans="5:5">
      <c r="E264" s="8">
        <f>IF(A264="","",N(C264)-N(D264))</f>
        <v/>
      </c>
    </row>
    <row r="265" spans="5:5">
      <c r="E265" s="8">
        <f>IF(A265="","",N(C265)-N(D265))</f>
        <v/>
      </c>
    </row>
    <row r="266" spans="5:5">
      <c r="E266" s="8">
        <f>IF(A266="","",N(C266)-N(D266))</f>
        <v/>
      </c>
    </row>
    <row r="267" spans="5:5">
      <c r="E267" s="8">
        <f>IF(A267="","",N(C267)-N(D267))</f>
        <v/>
      </c>
    </row>
    <row r="268" spans="5:5">
      <c r="E268" s="8">
        <f>IF(A268="","",N(C268)-N(D268))</f>
        <v/>
      </c>
    </row>
    <row r="269" spans="5:5">
      <c r="E269" s="8">
        <f>IF(A269="","",N(C269)-N(D269))</f>
        <v/>
      </c>
    </row>
    <row r="270" spans="5:5">
      <c r="E270" s="8">
        <f>IF(A270="","",N(C270)-N(D270))</f>
        <v/>
      </c>
    </row>
    <row r="271" spans="5:5">
      <c r="E271" s="8">
        <f>IF(A271="","",N(C271)-N(D271))</f>
        <v/>
      </c>
    </row>
    <row r="272" spans="5:5">
      <c r="E272" s="8">
        <f>IF(A272="","",N(C272)-N(D272))</f>
        <v/>
      </c>
    </row>
    <row r="273" spans="5:5">
      <c r="E273" s="8">
        <f>IF(A273="","",N(C273)-N(D273))</f>
        <v/>
      </c>
    </row>
    <row r="274" spans="5:5">
      <c r="E274" s="8">
        <f>IF(A274="","",N(C274)-N(D274))</f>
        <v/>
      </c>
    </row>
    <row r="275" spans="5:5">
      <c r="E275" s="8">
        <f>IF(A275="","",N(C275)-N(D275))</f>
        <v/>
      </c>
    </row>
    <row r="276" spans="5:5">
      <c r="E276" s="8">
        <f>IF(A276="","",N(C276)-N(D276))</f>
        <v/>
      </c>
    </row>
    <row r="277" spans="5:5">
      <c r="E277" s="8">
        <f>IF(A277="","",N(C277)-N(D277))</f>
        <v/>
      </c>
    </row>
    <row r="278" spans="5:5">
      <c r="E278" s="8">
        <f>IF(A278="","",N(C278)-N(D278))</f>
        <v/>
      </c>
    </row>
    <row r="279" spans="5:5">
      <c r="E279" s="8">
        <f>IF(A279="","",N(C279)-N(D279))</f>
        <v/>
      </c>
    </row>
    <row r="280" spans="5:5">
      <c r="E280" s="8">
        <f>IF(A280="","",N(C280)-N(D280))</f>
        <v/>
      </c>
    </row>
    <row r="281" spans="5:5">
      <c r="E281" s="8">
        <f>IF(A281="","",N(C281)-N(D281))</f>
        <v/>
      </c>
    </row>
    <row r="282" spans="5:5">
      <c r="E282" s="8">
        <f>IF(A282="","",N(C282)-N(D282))</f>
        <v/>
      </c>
    </row>
    <row r="283" spans="5:5">
      <c r="E283" s="8">
        <f>IF(A283="","",N(C283)-N(D283))</f>
        <v/>
      </c>
    </row>
    <row r="284" spans="5:5">
      <c r="E284" s="8">
        <f>IF(A284="","",N(C284)-N(D284))</f>
        <v/>
      </c>
    </row>
    <row r="285" spans="5:5">
      <c r="E285" s="8">
        <f>IF(A285="","",N(C285)-N(D285))</f>
        <v/>
      </c>
    </row>
    <row r="286" spans="5:5">
      <c r="E286" s="8">
        <f>IF(A286="","",N(C286)-N(D286))</f>
        <v/>
      </c>
    </row>
    <row r="287" spans="5:5">
      <c r="E287" s="8">
        <f>IF(A287="","",N(C287)-N(D287))</f>
        <v/>
      </c>
    </row>
    <row r="288" spans="5:5">
      <c r="E288" s="8">
        <f>IF(A288="","",N(C288)-N(D288))</f>
        <v/>
      </c>
    </row>
    <row r="289" spans="5:5">
      <c r="E289" s="8">
        <f>IF(A289="","",N(C289)-N(D289))</f>
        <v/>
      </c>
    </row>
    <row r="290" spans="5:5">
      <c r="E290" s="8">
        <f>IF(A290="","",N(C290)-N(D290))</f>
        <v/>
      </c>
    </row>
    <row r="291" spans="5:5">
      <c r="E291" s="8">
        <f>IF(A291="","",N(C291)-N(D291))</f>
        <v/>
      </c>
    </row>
    <row r="292" spans="5:5">
      <c r="E292" s="8">
        <f>IF(A292="","",N(C292)-N(D292))</f>
        <v/>
      </c>
    </row>
    <row r="293" spans="5:5">
      <c r="E293" s="8">
        <f>IF(A293="","",N(C293)-N(D293))</f>
        <v/>
      </c>
    </row>
    <row r="294" spans="5:5">
      <c r="E294" s="8">
        <f>IF(A294="","",N(C294)-N(D294))</f>
        <v/>
      </c>
    </row>
    <row r="295" spans="5:5">
      <c r="E295" s="8">
        <f>IF(A295="","",N(C295)-N(D295))</f>
        <v/>
      </c>
    </row>
    <row r="296" spans="5:5">
      <c r="E296" s="8">
        <f>IF(A296="","",N(C296)-N(D296))</f>
        <v/>
      </c>
    </row>
    <row r="297" spans="5:5">
      <c r="E297" s="8">
        <f>IF(A297="","",N(C297)-N(D297))</f>
        <v/>
      </c>
    </row>
    <row r="298" spans="5:5">
      <c r="E298" s="8">
        <f>IF(A298="","",N(C298)-N(D298))</f>
        <v/>
      </c>
    </row>
    <row r="299" spans="5:5">
      <c r="E299" s="8">
        <f>IF(A299="","",N(C299)-N(D299))</f>
        <v/>
      </c>
    </row>
    <row r="300" spans="5:5">
      <c r="E300" s="8">
        <f>IF(A300="","",N(C300)-N(D300))</f>
        <v/>
      </c>
    </row>
    <row r="301" spans="5:5">
      <c r="E301" s="8">
        <f>IF(A301="","",N(C301)-N(D301))</f>
        <v/>
      </c>
    </row>
    <row r="302" spans="5:5">
      <c r="E302" s="8">
        <f>IF(A302="","",N(C302)-N(D302))</f>
        <v/>
      </c>
    </row>
    <row r="303" spans="5:5">
      <c r="E303" s="8">
        <f>IF(A303="","",N(C303)-N(D303))</f>
        <v/>
      </c>
    </row>
    <row r="304" spans="5:5">
      <c r="E304" s="8">
        <f>IF(A304="","",N(C304)-N(D304))</f>
        <v/>
      </c>
    </row>
    <row r="305" spans="5:5">
      <c r="E305" s="8">
        <f>IF(A305="","",N(C305)-N(D305))</f>
        <v/>
      </c>
    </row>
    <row r="306" spans="5:5">
      <c r="E306" s="8">
        <f>IF(A306="","",N(C306)-N(D306))</f>
        <v/>
      </c>
    </row>
    <row r="307" spans="5:5">
      <c r="E307" s="8">
        <f>IF(A307="","",N(C307)-N(D307))</f>
        <v/>
      </c>
    </row>
    <row r="308" spans="5:5">
      <c r="E308" s="8">
        <f>IF(A308="","",N(C308)-N(D308))</f>
        <v/>
      </c>
    </row>
    <row r="309" spans="5:5">
      <c r="E309" s="8">
        <f>IF(A309="","",N(C309)-N(D309))</f>
        <v/>
      </c>
    </row>
    <row r="310" spans="5:5">
      <c r="E310" s="8">
        <f>IF(A310="","",N(C310)-N(D310))</f>
        <v/>
      </c>
    </row>
    <row r="311" spans="5:5">
      <c r="E311" s="8">
        <f>IF(A311="","",N(C311)-N(D311))</f>
        <v/>
      </c>
    </row>
    <row r="312" spans="5:5">
      <c r="E312" s="8">
        <f>IF(A312="","",N(C312)-N(D312))</f>
        <v/>
      </c>
    </row>
    <row r="313" spans="5:5">
      <c r="E313" s="8">
        <f>IF(A313="","",N(C313)-N(D313))</f>
        <v/>
      </c>
    </row>
    <row r="314" spans="5:5">
      <c r="E314" s="8">
        <f>IF(A314="","",N(C314)-N(D314))</f>
        <v/>
      </c>
    </row>
    <row r="315" spans="5:5">
      <c r="E315" s="8">
        <f>IF(A315="","",N(C315)-N(D315))</f>
        <v/>
      </c>
    </row>
    <row r="316" spans="5:5">
      <c r="E316" s="8">
        <f>IF(A316="","",N(C316)-N(D316))</f>
        <v/>
      </c>
    </row>
    <row r="317" spans="5:5">
      <c r="E317" s="8">
        <f>IF(A317="","",N(C317)-N(D317))</f>
        <v/>
      </c>
    </row>
    <row r="318" spans="5:5">
      <c r="E318" s="8">
        <f>IF(A318="","",N(C318)-N(D318))</f>
        <v/>
      </c>
    </row>
    <row r="319" spans="5:5">
      <c r="E319" s="8">
        <f>IF(A319="","",N(C319)-N(D319))</f>
        <v/>
      </c>
    </row>
    <row r="320" spans="5:5">
      <c r="E320" s="8">
        <f>IF(A320="","",N(C320)-N(D320))</f>
        <v/>
      </c>
    </row>
    <row r="321" spans="5:5">
      <c r="E321" s="8">
        <f>IF(A321="","",N(C321)-N(D321))</f>
        <v/>
      </c>
    </row>
    <row r="322" spans="5:5">
      <c r="E322" s="8">
        <f>IF(A322="","",N(C322)-N(D322))</f>
        <v/>
      </c>
    </row>
    <row r="323" spans="5:5">
      <c r="E323" s="8">
        <f>IF(A323="","",N(C323)-N(D323))</f>
        <v/>
      </c>
    </row>
    <row r="324" spans="5:5">
      <c r="E324" s="8">
        <f>IF(A324="","",N(C324)-N(D324))</f>
        <v/>
      </c>
    </row>
    <row r="325" spans="5:5">
      <c r="E325" s="8">
        <f>IF(A325="","",N(C325)-N(D325))</f>
        <v/>
      </c>
    </row>
    <row r="326" spans="5:5">
      <c r="E326" s="8">
        <f>IF(A326="","",N(C326)-N(D326))</f>
        <v/>
      </c>
    </row>
    <row r="327" spans="5:5">
      <c r="E327" s="8">
        <f>IF(A327="","",N(C327)-N(D327))</f>
        <v/>
      </c>
    </row>
    <row r="328" spans="5:5">
      <c r="E328" s="8">
        <f>IF(A328="","",N(C328)-N(D328))</f>
        <v/>
      </c>
    </row>
    <row r="329" spans="5:5">
      <c r="E329" s="8">
        <f>IF(A329="","",N(C329)-N(D329))</f>
        <v/>
      </c>
    </row>
    <row r="330" spans="5:5">
      <c r="E330" s="8">
        <f>IF(A330="","",N(C330)-N(D330))</f>
        <v/>
      </c>
    </row>
    <row r="331" spans="5:5">
      <c r="E331" s="8">
        <f>IF(A331="","",N(C331)-N(D331))</f>
        <v/>
      </c>
    </row>
    <row r="332" spans="5:5">
      <c r="E332" s="8">
        <f>IF(A332="","",N(C332)-N(D332))</f>
        <v/>
      </c>
    </row>
    <row r="333" spans="5:5">
      <c r="E333" s="8">
        <f>IF(A333="","",N(C333)-N(D333))</f>
        <v/>
      </c>
    </row>
    <row r="334" spans="5:5">
      <c r="E334" s="8">
        <f>IF(A334="","",N(C334)-N(D334))</f>
        <v/>
      </c>
    </row>
    <row r="335" spans="5:5">
      <c r="E335" s="8">
        <f>IF(A335="","",N(C335)-N(D335))</f>
        <v/>
      </c>
    </row>
    <row r="336" spans="5:5">
      <c r="E336" s="8">
        <f>IF(A336="","",N(C336)-N(D336))</f>
        <v/>
      </c>
    </row>
    <row r="337" spans="5:5">
      <c r="E337" s="8">
        <f>IF(A337="","",N(C337)-N(D337))</f>
        <v/>
      </c>
    </row>
    <row r="338" spans="5:5">
      <c r="E338" s="8">
        <f>IF(A338="","",N(C338)-N(D338))</f>
        <v/>
      </c>
    </row>
    <row r="339" spans="5:5">
      <c r="E339" s="8">
        <f>IF(A339="","",N(C339)-N(D339))</f>
        <v/>
      </c>
    </row>
    <row r="340" spans="5:5">
      <c r="E340" s="8">
        <f>IF(A340="","",N(C340)-N(D340))</f>
        <v/>
      </c>
    </row>
    <row r="341" spans="5:5">
      <c r="E341" s="8">
        <f>IF(A341="","",N(C341)-N(D341))</f>
        <v/>
      </c>
    </row>
    <row r="342" spans="5:5">
      <c r="E342" s="8">
        <f>IF(A342="","",N(C342)-N(D342))</f>
        <v/>
      </c>
    </row>
    <row r="343" spans="5:5">
      <c r="E343" s="8">
        <f>IF(A343="","",N(C343)-N(D343))</f>
        <v/>
      </c>
    </row>
    <row r="344" spans="5:5">
      <c r="E344" s="8">
        <f>IF(A344="","",N(C344)-N(D344))</f>
        <v/>
      </c>
    </row>
    <row r="345" spans="5:5">
      <c r="E345" s="8">
        <f>IF(A345="","",N(C345)-N(D345))</f>
        <v/>
      </c>
    </row>
    <row r="346" spans="5:5">
      <c r="E346" s="8">
        <f>IF(A346="","",N(C346)-N(D346))</f>
        <v/>
      </c>
    </row>
    <row r="347" spans="5:5">
      <c r="E347" s="8">
        <f>IF(A347="","",N(C347)-N(D347))</f>
        <v/>
      </c>
    </row>
    <row r="348" spans="5:5">
      <c r="E348" s="8">
        <f>IF(A348="","",N(C348)-N(D348))</f>
        <v/>
      </c>
    </row>
    <row r="349" spans="5:5">
      <c r="E349" s="8">
        <f>IF(A349="","",N(C349)-N(D349))</f>
        <v/>
      </c>
    </row>
    <row r="350" spans="5:5">
      <c r="E350" s="8">
        <f>IF(A350="","",N(C350)-N(D350))</f>
        <v/>
      </c>
    </row>
    <row r="351" spans="5:5">
      <c r="E351" s="8">
        <f>IF(A351="","",N(C351)-N(D351))</f>
        <v/>
      </c>
    </row>
    <row r="352" spans="5:5">
      <c r="E352" s="8">
        <f>IF(A352="","",N(C352)-N(D352))</f>
        <v/>
      </c>
    </row>
    <row r="353" spans="5:5">
      <c r="E353" s="8">
        <f>IF(A353="","",N(C353)-N(D353))</f>
        <v/>
      </c>
    </row>
    <row r="354" spans="5:5">
      <c r="E354" s="8">
        <f>IF(A354="","",N(C354)-N(D354))</f>
        <v/>
      </c>
    </row>
    <row r="355" spans="5:5">
      <c r="E355" s="8">
        <f>IF(A355="","",N(C355)-N(D355))</f>
        <v/>
      </c>
    </row>
    <row r="356" spans="5:5">
      <c r="E356" s="8">
        <f>IF(A356="","",N(C356)-N(D356))</f>
        <v/>
      </c>
    </row>
    <row r="357" spans="5:5">
      <c r="E357" s="8">
        <f>IF(A357="","",N(C357)-N(D357))</f>
        <v/>
      </c>
    </row>
    <row r="358" spans="5:5">
      <c r="E358" s="8">
        <f>IF(A358="","",N(C358)-N(D358))</f>
        <v/>
      </c>
    </row>
    <row r="359" spans="5:5">
      <c r="E359" s="8">
        <f>IF(A359="","",N(C359)-N(D359))</f>
        <v/>
      </c>
    </row>
    <row r="360" spans="5:5">
      <c r="E360" s="8">
        <f>IF(A360="","",N(C360)-N(D360))</f>
        <v/>
      </c>
    </row>
    <row r="361" spans="5:5">
      <c r="E361" s="8">
        <f>IF(A361="","",N(C361)-N(D361))</f>
        <v/>
      </c>
    </row>
    <row r="362" spans="5:5">
      <c r="E362" s="8">
        <f>IF(A362="","",N(C362)-N(D362))</f>
        <v/>
      </c>
    </row>
    <row r="363" spans="5:5">
      <c r="E363" s="8">
        <f>IF(A363="","",N(C363)-N(D363))</f>
        <v/>
      </c>
    </row>
    <row r="364" spans="5:5">
      <c r="E364" s="8">
        <f>IF(A364="","",N(C364)-N(D364))</f>
        <v/>
      </c>
    </row>
    <row r="365" spans="5:5">
      <c r="E365" s="8">
        <f>IF(A365="","",N(C365)-N(D365))</f>
        <v/>
      </c>
    </row>
    <row r="366" spans="5:5">
      <c r="E366" s="8">
        <f>IF(A366="","",N(C366)-N(D366))</f>
        <v/>
      </c>
    </row>
    <row r="367" spans="5:5">
      <c r="E367" s="8">
        <f>IF(A367="","",N(C367)-N(D367))</f>
        <v/>
      </c>
    </row>
    <row r="368" spans="5:5">
      <c r="E368" s="8">
        <f>IF(A368="","",N(C368)-N(D368))</f>
        <v/>
      </c>
    </row>
    <row r="369" spans="5:5">
      <c r="E369" s="8">
        <f>IF(A369="","",N(C369)-N(D369))</f>
        <v/>
      </c>
    </row>
    <row r="370" spans="5:5">
      <c r="E370" s="8">
        <f>IF(A370="","",N(C370)-N(D370))</f>
        <v/>
      </c>
    </row>
    <row r="371" spans="5:5">
      <c r="E371" s="8">
        <f>IF(A371="","",N(C371)-N(D371))</f>
        <v/>
      </c>
    </row>
    <row r="372" spans="5:5">
      <c r="E372" s="8">
        <f>IF(A372="","",N(C372)-N(D372))</f>
        <v/>
      </c>
    </row>
    <row r="373" spans="5:5">
      <c r="E373" s="8">
        <f>IF(A373="","",N(C373)-N(D373))</f>
        <v/>
      </c>
    </row>
    <row r="374" spans="5:5">
      <c r="E374" s="8">
        <f>IF(A374="","",N(C374)-N(D374))</f>
        <v/>
      </c>
    </row>
    <row r="375" spans="5:5">
      <c r="E375" s="8">
        <f>IF(A375="","",N(C375)-N(D375))</f>
        <v/>
      </c>
    </row>
    <row r="376" spans="5:5">
      <c r="E376" s="8">
        <f>IF(A376="","",N(C376)-N(D376))</f>
        <v/>
      </c>
    </row>
    <row r="377" spans="5:5">
      <c r="E377" s="8">
        <f>IF(A377="","",N(C377)-N(D377))</f>
        <v/>
      </c>
    </row>
    <row r="378" spans="5:5">
      <c r="E378" s="8">
        <f>IF(A378="","",N(C378)-N(D378))</f>
        <v/>
      </c>
    </row>
    <row r="379" spans="5:5">
      <c r="E379" s="8">
        <f>IF(A379="","",N(C379)-N(D379))</f>
        <v/>
      </c>
    </row>
    <row r="380" spans="5:5">
      <c r="E380" s="8">
        <f>IF(A380="","",N(C380)-N(D380))</f>
        <v/>
      </c>
    </row>
    <row r="381" spans="5:5">
      <c r="E381" s="8">
        <f>IF(A381="","",N(C381)-N(D381))</f>
        <v/>
      </c>
    </row>
    <row r="382" spans="5:5">
      <c r="E382" s="8">
        <f>IF(A382="","",N(C382)-N(D382))</f>
        <v/>
      </c>
    </row>
    <row r="383" spans="5:5">
      <c r="E383" s="8">
        <f>IF(A383="","",N(C383)-N(D383))</f>
        <v/>
      </c>
    </row>
    <row r="384" spans="5:5">
      <c r="E384" s="8">
        <f>IF(A384="","",N(C384)-N(D384))</f>
        <v/>
      </c>
    </row>
    <row r="385" spans="5:5">
      <c r="E385" s="8">
        <f>IF(A385="","",N(C385)-N(D385))</f>
        <v/>
      </c>
    </row>
    <row r="386" spans="5:5">
      <c r="E386" s="8">
        <f>IF(A386="","",N(C386)-N(D386))</f>
        <v/>
      </c>
    </row>
    <row r="387" spans="5:5">
      <c r="E387" s="8">
        <f>IF(A387="","",N(C387)-N(D387))</f>
        <v/>
      </c>
    </row>
    <row r="388" spans="5:5">
      <c r="E388" s="8">
        <f>IF(A388="","",N(C388)-N(D388))</f>
        <v/>
      </c>
    </row>
    <row r="389" spans="5:5">
      <c r="E389" s="8">
        <f>IF(A389="","",N(C389)-N(D389))</f>
        <v/>
      </c>
    </row>
    <row r="390" spans="5:5">
      <c r="E390" s="8">
        <f>IF(A390="","",N(C390)-N(D390))</f>
        <v/>
      </c>
    </row>
    <row r="391" spans="5:5">
      <c r="E391" s="8">
        <f>IF(A391="","",N(C391)-N(D391))</f>
        <v/>
      </c>
    </row>
    <row r="392" spans="5:5">
      <c r="E392" s="8">
        <f>IF(A392="","",N(C392)-N(D392))</f>
        <v/>
      </c>
    </row>
    <row r="393" spans="5:5">
      <c r="E393" s="8">
        <f>IF(A393="","",N(C393)-N(D393))</f>
        <v/>
      </c>
    </row>
    <row r="394" spans="5:5">
      <c r="E394" s="8">
        <f>IF(A394="","",N(C394)-N(D394))</f>
        <v/>
      </c>
    </row>
    <row r="395" spans="5:5">
      <c r="E395" s="8">
        <f>IF(A395="","",N(C395)-N(D395))</f>
        <v/>
      </c>
    </row>
    <row r="396" spans="5:5">
      <c r="E396" s="8">
        <f>IF(A396="","",N(C396)-N(D396))</f>
        <v/>
      </c>
    </row>
    <row r="397" spans="5:5">
      <c r="E397" s="8">
        <f>IF(A397="","",N(C397)-N(D397))</f>
        <v/>
      </c>
    </row>
    <row r="398" spans="5:5">
      <c r="E398" s="8">
        <f>IF(A398="","",N(C398)-N(D398))</f>
        <v/>
      </c>
    </row>
    <row r="399" spans="5:5">
      <c r="E399" s="8">
        <f>IF(A399="","",N(C399)-N(D399))</f>
        <v/>
      </c>
    </row>
    <row r="400" spans="5:5">
      <c r="E400" s="8">
        <f>IF(A400="","",N(C400)-N(D400))</f>
        <v/>
      </c>
    </row>
    <row r="401" spans="5:5">
      <c r="E401" s="8">
        <f>IF(A401="","",N(C401)-N(D401))</f>
        <v/>
      </c>
    </row>
    <row r="402" spans="5:5">
      <c r="E402" s="8">
        <f>IF(A402="","",N(C402)-N(D402))</f>
        <v/>
      </c>
    </row>
    <row r="403" spans="5:5">
      <c r="E403" s="8">
        <f>IF(A403="","",N(C403)-N(D403))</f>
        <v/>
      </c>
    </row>
    <row r="404" spans="5:5">
      <c r="E404" s="8">
        <f>IF(A404="","",N(C404)-N(D404))</f>
        <v/>
      </c>
    </row>
    <row r="405" spans="5:5">
      <c r="E405" s="8">
        <f>IF(A405="","",N(C405)-N(D405))</f>
        <v/>
      </c>
    </row>
    <row r="406" spans="5:5">
      <c r="E406" s="8">
        <f>IF(A406="","",N(C406)-N(D406))</f>
        <v/>
      </c>
    </row>
    <row r="407" spans="5:5">
      <c r="E407" s="8">
        <f>IF(A407="","",N(C407)-N(D407))</f>
        <v/>
      </c>
    </row>
    <row r="408" spans="5:5">
      <c r="E408" s="8">
        <f>IF(A408="","",N(C408)-N(D408))</f>
        <v/>
      </c>
    </row>
    <row r="409" spans="5:5">
      <c r="E409" s="8">
        <f>IF(A409="","",N(C409)-N(D409))</f>
        <v/>
      </c>
    </row>
    <row r="410" spans="5:5">
      <c r="E410" s="8">
        <f>IF(A410="","",N(C410)-N(D410))</f>
        <v/>
      </c>
    </row>
    <row r="411" spans="5:5">
      <c r="E411" s="8">
        <f>IF(A411="","",N(C411)-N(D411))</f>
        <v/>
      </c>
    </row>
    <row r="412" spans="5:5">
      <c r="E412" s="8">
        <f>IF(A412="","",N(C412)-N(D412))</f>
        <v/>
      </c>
    </row>
    <row r="413" spans="5:5">
      <c r="E413" s="8">
        <f>IF(A413="","",N(C413)-N(D413))</f>
        <v/>
      </c>
    </row>
    <row r="414" spans="5:5">
      <c r="E414" s="8">
        <f>IF(A414="","",N(C414)-N(D414))</f>
        <v/>
      </c>
    </row>
    <row r="415" spans="5:5">
      <c r="E415" s="8">
        <f>IF(A415="","",N(C415)-N(D415))</f>
        <v/>
      </c>
    </row>
    <row r="416" spans="5:5">
      <c r="E416" s="8">
        <f>IF(A416="","",N(C416)-N(D416))</f>
        <v/>
      </c>
    </row>
    <row r="417" spans="5:5">
      <c r="E417" s="8">
        <f>IF(A417="","",N(C417)-N(D417))</f>
        <v/>
      </c>
    </row>
    <row r="418" spans="5:5">
      <c r="E418" s="8">
        <f>IF(A418="","",N(C418)-N(D418))</f>
        <v/>
      </c>
    </row>
    <row r="419" spans="5:5">
      <c r="E419" s="8">
        <f>IF(A419="","",N(C419)-N(D419))</f>
        <v/>
      </c>
    </row>
    <row r="420" spans="5:5">
      <c r="E420" s="8">
        <f>IF(A420="","",N(C420)-N(D420))</f>
        <v/>
      </c>
    </row>
    <row r="421" spans="5:5">
      <c r="E421" s="8">
        <f>IF(A421="","",N(C421)-N(D421))</f>
        <v/>
      </c>
    </row>
    <row r="422" spans="5:5">
      <c r="E422" s="8">
        <f>IF(A422="","",N(C422)-N(D422))</f>
        <v/>
      </c>
    </row>
    <row r="423" spans="5:5">
      <c r="E423" s="8">
        <f>IF(A423="","",N(C423)-N(D423))</f>
        <v/>
      </c>
    </row>
    <row r="424" spans="5:5">
      <c r="E424" s="8">
        <f>IF(A424="","",N(C424)-N(D424))</f>
        <v/>
      </c>
    </row>
    <row r="425" spans="5:5">
      <c r="E425" s="8">
        <f>IF(A425="","",N(C425)-N(D425))</f>
        <v/>
      </c>
    </row>
    <row r="426" spans="5:5">
      <c r="E426" s="8">
        <f>IF(A426="","",N(C426)-N(D426))</f>
        <v/>
      </c>
    </row>
    <row r="427" spans="5:5">
      <c r="E427" s="8">
        <f>IF(A427="","",N(C427)-N(D427))</f>
        <v/>
      </c>
    </row>
    <row r="428" spans="5:5">
      <c r="E428" s="8">
        <f>IF(A428="","",N(C428)-N(D428))</f>
        <v/>
      </c>
    </row>
    <row r="429" spans="5:5">
      <c r="E429" s="8">
        <f>IF(A429="","",N(C429)-N(D429))</f>
        <v/>
      </c>
    </row>
    <row r="430" spans="5:5">
      <c r="E430" s="8">
        <f>IF(A430="","",N(C430)-N(D430))</f>
        <v/>
      </c>
    </row>
    <row r="431" spans="5:5">
      <c r="E431" s="8">
        <f>IF(A431="","",N(C431)-N(D431))</f>
        <v/>
      </c>
    </row>
    <row r="432" spans="5:5">
      <c r="E432" s="8">
        <f>IF(A432="","",N(C432)-N(D432))</f>
        <v/>
      </c>
    </row>
    <row r="433" spans="5:5">
      <c r="E433" s="8">
        <f>IF(A433="","",N(C433)-N(D433))</f>
        <v/>
      </c>
    </row>
    <row r="434" spans="5:5">
      <c r="E434" s="8">
        <f>IF(A434="","",N(C434)-N(D434))</f>
        <v/>
      </c>
    </row>
    <row r="435" spans="5:5">
      <c r="E435" s="8">
        <f>IF(A435="","",N(C435)-N(D435))</f>
        <v/>
      </c>
    </row>
    <row r="436" spans="5:5">
      <c r="E436" s="8">
        <f>IF(A436="","",N(C436)-N(D436))</f>
        <v/>
      </c>
    </row>
    <row r="437" spans="5:5">
      <c r="E437" s="8">
        <f>IF(A437="","",N(C437)-N(D437))</f>
        <v/>
      </c>
    </row>
    <row r="438" spans="5:5">
      <c r="E438" s="8">
        <f>IF(A438="","",N(C438)-N(D438))</f>
        <v/>
      </c>
    </row>
    <row r="439" spans="5:5">
      <c r="E439" s="8">
        <f>IF(A439="","",N(C439)-N(D439))</f>
        <v/>
      </c>
    </row>
    <row r="440" spans="5:5">
      <c r="E440" s="8">
        <f>IF(A440="","",N(C440)-N(D440))</f>
        <v/>
      </c>
    </row>
    <row r="441" spans="5:5">
      <c r="E441" s="8">
        <f>IF(A441="","",N(C441)-N(D441))</f>
        <v/>
      </c>
    </row>
    <row r="442" spans="5:5">
      <c r="E442" s="8">
        <f>IF(A442="","",N(C442)-N(D442))</f>
        <v/>
      </c>
    </row>
    <row r="443" spans="5:5">
      <c r="E443" s="8">
        <f>IF(A443="","",N(C443)-N(D443))</f>
        <v/>
      </c>
    </row>
    <row r="444" spans="5:5">
      <c r="E444" s="8">
        <f>IF(A444="","",N(C444)-N(D444))</f>
        <v/>
      </c>
    </row>
    <row r="445" spans="5:5">
      <c r="E445" s="8">
        <f>IF(A445="","",N(C445)-N(D445))</f>
        <v/>
      </c>
    </row>
    <row r="446" spans="5:5">
      <c r="E446" s="8">
        <f>IF(A446="","",N(C446)-N(D446))</f>
        <v/>
      </c>
    </row>
    <row r="447" spans="5:5">
      <c r="E447" s="8">
        <f>IF(A447="","",N(C447)-N(D447))</f>
        <v/>
      </c>
    </row>
    <row r="448" spans="5:5">
      <c r="E448" s="8">
        <f>IF(A448="","",N(C448)-N(D448))</f>
        <v/>
      </c>
    </row>
    <row r="449" spans="5:5">
      <c r="E449" s="8">
        <f>IF(A449="","",N(C449)-N(D449))</f>
        <v/>
      </c>
    </row>
    <row r="450" spans="5:5">
      <c r="E450" s="8">
        <f>IF(A450="","",N(C450)-N(D450))</f>
        <v/>
      </c>
    </row>
    <row r="451" spans="5:5">
      <c r="E451" s="8">
        <f>IF(A451="","",N(C451)-N(D451))</f>
        <v/>
      </c>
    </row>
    <row r="452" spans="5:5">
      <c r="E452" s="8">
        <f>IF(A452="","",N(C452)-N(D452))</f>
        <v/>
      </c>
    </row>
    <row r="453" spans="5:5">
      <c r="E453" s="8">
        <f>IF(A453="","",N(C453)-N(D453))</f>
        <v/>
      </c>
    </row>
    <row r="454" spans="5:5">
      <c r="E454" s="8">
        <f>IF(A454="","",N(C454)-N(D454))</f>
        <v/>
      </c>
    </row>
    <row r="455" spans="5:5">
      <c r="E455" s="8">
        <f>IF(A455="","",N(C455)-N(D455))</f>
        <v/>
      </c>
    </row>
    <row r="456" spans="5:5">
      <c r="E456" s="8">
        <f>IF(A456="","",N(C456)-N(D456))</f>
        <v/>
      </c>
    </row>
    <row r="457" spans="5:5">
      <c r="E457" s="8">
        <f>IF(A457="","",N(C457)-N(D457))</f>
        <v/>
      </c>
    </row>
    <row r="458" spans="5:5">
      <c r="E458" s="8">
        <f>IF(A458="","",N(C458)-N(D458))</f>
        <v/>
      </c>
    </row>
    <row r="459" spans="5:5">
      <c r="E459" s="8">
        <f>IF(A459="","",N(C459)-N(D459))</f>
        <v/>
      </c>
    </row>
    <row r="460" spans="5:5">
      <c r="E460" s="8">
        <f>IF(A460="","",N(C460)-N(D460))</f>
        <v/>
      </c>
    </row>
    <row r="461" spans="5:5">
      <c r="E461" s="8">
        <f>IF(A461="","",N(C461)-N(D461))</f>
        <v/>
      </c>
    </row>
    <row r="462" spans="5:5">
      <c r="E462" s="8">
        <f>IF(A462="","",N(C462)-N(D462))</f>
        <v/>
      </c>
    </row>
    <row r="463" spans="5:5">
      <c r="E463" s="8">
        <f>IF(A463="","",N(C463)-N(D463))</f>
        <v/>
      </c>
    </row>
    <row r="464" spans="5:5">
      <c r="E464" s="8">
        <f>IF(A464="","",N(C464)-N(D464))</f>
        <v/>
      </c>
    </row>
    <row r="465" spans="5:5">
      <c r="E465" s="8">
        <f>IF(A465="","",N(C465)-N(D465))</f>
        <v/>
      </c>
    </row>
    <row r="466" spans="5:5">
      <c r="E466" s="8">
        <f>IF(A466="","",N(C466)-N(D466))</f>
        <v/>
      </c>
    </row>
    <row r="467" spans="5:5">
      <c r="E467" s="8">
        <f>IF(A467="","",N(C467)-N(D467))</f>
        <v/>
      </c>
    </row>
    <row r="468" spans="5:5">
      <c r="E468" s="8">
        <f>IF(A468="","",N(C468)-N(D468))</f>
        <v/>
      </c>
    </row>
    <row r="469" spans="5:5">
      <c r="E469" s="8">
        <f>IF(A469="","",N(C469)-N(D469))</f>
        <v/>
      </c>
    </row>
    <row r="470" spans="5:5">
      <c r="E470" s="8">
        <f>IF(A470="","",N(C470)-N(D470))</f>
        <v/>
      </c>
    </row>
    <row r="471" spans="5:5">
      <c r="E471" s="8">
        <f>IF(A471="","",N(C471)-N(D471))</f>
        <v/>
      </c>
    </row>
    <row r="472" spans="5:5">
      <c r="E472" s="8">
        <f>IF(A472="","",N(C472)-N(D472))</f>
        <v/>
      </c>
    </row>
    <row r="473" spans="5:5">
      <c r="E473" s="8">
        <f>IF(A473="","",N(C473)-N(D473))</f>
        <v/>
      </c>
    </row>
    <row r="474" spans="5:5">
      <c r="E474" s="8">
        <f>IF(A474="","",N(C474)-N(D474))</f>
        <v/>
      </c>
    </row>
    <row r="475" spans="5:5">
      <c r="E475" s="8">
        <f>IF(A475="","",N(C475)-N(D475))</f>
        <v/>
      </c>
    </row>
    <row r="476" spans="5:5">
      <c r="E476" s="8">
        <f>IF(A476="","",N(C476)-N(D476))</f>
        <v/>
      </c>
    </row>
    <row r="477" spans="5:5">
      <c r="E477" s="8">
        <f>IF(A477="","",N(C477)-N(D477))</f>
        <v/>
      </c>
    </row>
    <row r="478" spans="5:5">
      <c r="E478" s="8">
        <f>IF(A478="","",N(C478)-N(D478))</f>
        <v/>
      </c>
    </row>
    <row r="479" spans="5:5">
      <c r="E479" s="8">
        <f>IF(A479="","",N(C479)-N(D479))</f>
        <v/>
      </c>
    </row>
    <row r="480" spans="5:5">
      <c r="E480" s="8">
        <f>IF(A480="","",N(C480)-N(D480))</f>
        <v/>
      </c>
    </row>
    <row r="481" spans="5:5">
      <c r="E481" s="8">
        <f>IF(A481="","",N(C481)-N(D481))</f>
        <v/>
      </c>
    </row>
    <row r="482" spans="5:5">
      <c r="E482" s="8">
        <f>IF(A482="","",N(C482)-N(D482))</f>
        <v/>
      </c>
    </row>
    <row r="483" spans="5:5">
      <c r="E483" s="8">
        <f>IF(A483="","",N(C483)-N(D483))</f>
        <v/>
      </c>
    </row>
    <row r="484" spans="5:5">
      <c r="E484" s="8">
        <f>IF(A484="","",N(C484)-N(D484))</f>
        <v/>
      </c>
    </row>
    <row r="485" spans="5:5">
      <c r="E485" s="8">
        <f>IF(A485="","",N(C485)-N(D485))</f>
        <v/>
      </c>
    </row>
    <row r="486" spans="5:5">
      <c r="E486" s="8">
        <f>IF(A486="","",N(C486)-N(D486))</f>
        <v/>
      </c>
    </row>
    <row r="487" spans="5:5">
      <c r="E487" s="8">
        <f>IF(A487="","",N(C487)-N(D487))</f>
        <v/>
      </c>
    </row>
    <row r="488" spans="5:5">
      <c r="E488" s="8">
        <f>IF(A488="","",N(C488)-N(D488))</f>
        <v/>
      </c>
    </row>
    <row r="489" spans="5:5">
      <c r="E489" s="8">
        <f>IF(A489="","",N(C489)-N(D489))</f>
        <v/>
      </c>
    </row>
    <row r="490" spans="5:5">
      <c r="E490" s="8">
        <f>IF(A490="","",N(C490)-N(D490))</f>
        <v/>
      </c>
    </row>
    <row r="491" spans="5:5">
      <c r="E491" s="8">
        <f>IF(A491="","",N(C491)-N(D491))</f>
        <v/>
      </c>
    </row>
    <row r="492" spans="5:5">
      <c r="E492" s="8">
        <f>IF(A492="","",N(C492)-N(D492))</f>
        <v/>
      </c>
    </row>
    <row r="493" spans="5:5">
      <c r="E493" s="8">
        <f>IF(A493="","",N(C493)-N(D493))</f>
        <v/>
      </c>
    </row>
    <row r="494" spans="5:5">
      <c r="E494" s="8">
        <f>IF(A494="","",N(C494)-N(D494))</f>
        <v/>
      </c>
    </row>
    <row r="495" spans="5:5">
      <c r="E495" s="8">
        <f>IF(A495="","",N(C495)-N(D495))</f>
        <v/>
      </c>
    </row>
    <row r="496" spans="5:5">
      <c r="E496" s="8">
        <f>IF(A496="","",N(C496)-N(D496))</f>
        <v/>
      </c>
    </row>
    <row r="497" spans="5:5">
      <c r="E497" s="8">
        <f>IF(A497="","",N(C497)-N(D497))</f>
        <v/>
      </c>
    </row>
    <row r="498" spans="5:5">
      <c r="E498" s="8">
        <f>IF(A498="","",N(C498)-N(D498))</f>
        <v/>
      </c>
    </row>
    <row r="499" spans="5:5">
      <c r="E499" s="8">
        <f>IF(A499="","",N(C499)-N(D499))</f>
        <v/>
      </c>
    </row>
    <row r="500" spans="5:5">
      <c r="E500" s="8">
        <f>IF(A500="","",N(C500)-N(D500))</f>
        <v/>
      </c>
    </row>
    <row r="501" spans="5:5">
      <c r="E501" s="8">
        <f>IF(A501="","",N(C501)-N(D501))</f>
        <v/>
      </c>
    </row>
    <row r="502" spans="5:5">
      <c r="E502" s="8">
        <f>IF(A502="","",N(C502)-N(D502))</f>
        <v/>
      </c>
    </row>
    <row r="503" spans="5:5">
      <c r="E503" s="8">
        <f>IF(A503="","",N(C503)-N(D503))</f>
        <v/>
      </c>
    </row>
    <row r="504" spans="5:5">
      <c r="E504" s="8">
        <f>IF(A504="","",N(C504)-N(D504))</f>
        <v/>
      </c>
    </row>
    <row r="505" spans="5:5">
      <c r="E505" s="8">
        <f>IF(A505="","",N(C505)-N(D505))</f>
        <v/>
      </c>
    </row>
    <row r="506" spans="5:5">
      <c r="E506" s="8">
        <f>IF(A506="","",N(C506)-N(D506))</f>
        <v/>
      </c>
    </row>
    <row r="507" spans="5:5">
      <c r="E507" s="8">
        <f>IF(A507="","",N(C507)-N(D507))</f>
        <v/>
      </c>
    </row>
    <row r="508" spans="5:5">
      <c r="E508" s="8">
        <f>IF(A508="","",N(C508)-N(D508))</f>
        <v/>
      </c>
    </row>
    <row r="509" spans="5:5">
      <c r="E509" s="8">
        <f>IF(A509="","",N(C509)-N(D509))</f>
        <v/>
      </c>
    </row>
    <row r="510" spans="5:5">
      <c r="E510" s="8">
        <f>IF(A510="","",N(C510)-N(D510))</f>
        <v/>
      </c>
    </row>
    <row r="511" spans="5:5">
      <c r="E511" s="8">
        <f>IF(A511="","",N(C511)-N(D511))</f>
        <v/>
      </c>
    </row>
    <row r="512" spans="5:5">
      <c r="E512" s="8">
        <f>IF(A512="","",N(C512)-N(D512))</f>
        <v/>
      </c>
    </row>
    <row r="513" spans="5:5">
      <c r="E513" s="8">
        <f>IF(A513="","",N(C513)-N(D513))</f>
        <v/>
      </c>
    </row>
    <row r="514" spans="5:5">
      <c r="E514" s="8">
        <f>IF(A514="","",N(C514)-N(D514))</f>
        <v/>
      </c>
    </row>
    <row r="515" spans="5:5">
      <c r="E515" s="8">
        <f>IF(A515="","",N(C515)-N(D515))</f>
        <v/>
      </c>
    </row>
    <row r="516" spans="5:5">
      <c r="E516" s="8">
        <f>IF(A516="","",N(C516)-N(D516))</f>
        <v/>
      </c>
    </row>
    <row r="517" spans="5:5">
      <c r="E517" s="8">
        <f>IF(A517="","",N(C517)-N(D517))</f>
        <v/>
      </c>
    </row>
    <row r="518" spans="5:5">
      <c r="E518" s="8">
        <f>IF(A518="","",N(C518)-N(D518))</f>
        <v/>
      </c>
    </row>
    <row r="519" spans="5:5">
      <c r="E519" s="8">
        <f>IF(A519="","",N(C519)-N(D519))</f>
        <v/>
      </c>
    </row>
    <row r="520" spans="5:5">
      <c r="E520" s="8">
        <f>IF(A520="","",N(C520)-N(D520))</f>
        <v/>
      </c>
    </row>
    <row r="521" spans="5:5">
      <c r="E521" s="8">
        <f>IF(A521="","",N(C521)-N(D521))</f>
        <v/>
      </c>
    </row>
    <row r="522" spans="5:5">
      <c r="E522" s="8">
        <f>IF(A522="","",N(C522)-N(D522))</f>
        <v/>
      </c>
    </row>
    <row r="523" spans="5:5">
      <c r="E523" s="8">
        <f>IF(A523="","",N(C523)-N(D523))</f>
        <v/>
      </c>
    </row>
    <row r="524" spans="5:5">
      <c r="E524" s="8">
        <f>IF(A524="","",N(C524)-N(D524))</f>
        <v/>
      </c>
    </row>
    <row r="525" spans="5:5">
      <c r="E525" s="8">
        <f>IF(A525="","",N(C525)-N(D525))</f>
        <v/>
      </c>
    </row>
    <row r="526" spans="5:5">
      <c r="E526" s="8">
        <f>IF(A526="","",N(C526)-N(D526))</f>
        <v/>
      </c>
    </row>
    <row r="527" spans="5:5">
      <c r="E527" s="8">
        <f>IF(A527="","",N(C527)-N(D527))</f>
        <v/>
      </c>
    </row>
    <row r="528" spans="5:5">
      <c r="E528" s="8">
        <f>IF(A528="","",N(C528)-N(D528))</f>
        <v/>
      </c>
    </row>
    <row r="529" spans="5:5">
      <c r="E529" s="8">
        <f>IF(A529="","",N(C529)-N(D529))</f>
        <v/>
      </c>
    </row>
    <row r="530" spans="5:5">
      <c r="E530" s="8">
        <f>IF(A530="","",N(C530)-N(D530))</f>
        <v/>
      </c>
    </row>
    <row r="531" spans="5:5">
      <c r="E531" s="8">
        <f>IF(A531="","",N(C531)-N(D531))</f>
        <v/>
      </c>
    </row>
    <row r="532" spans="5:5">
      <c r="E532" s="8">
        <f>IF(A532="","",N(C532)-N(D532))</f>
        <v/>
      </c>
    </row>
    <row r="533" spans="5:5">
      <c r="E533" s="8">
        <f>IF(A533="","",N(C533)-N(D533))</f>
        <v/>
      </c>
    </row>
    <row r="534" spans="5:5">
      <c r="E534" s="8">
        <f>IF(A534="","",N(C534)-N(D534))</f>
        <v/>
      </c>
    </row>
    <row r="535" spans="5:5">
      <c r="E535" s="8">
        <f>IF(A535="","",N(C535)-N(D535))</f>
        <v/>
      </c>
    </row>
    <row r="536" spans="5:5">
      <c r="E536" s="8">
        <f>IF(A536="","",N(C536)-N(D536))</f>
        <v/>
      </c>
    </row>
    <row r="537" spans="5:5">
      <c r="E537" s="8">
        <f>IF(A537="","",N(C537)-N(D537))</f>
        <v/>
      </c>
    </row>
    <row r="538" spans="5:5">
      <c r="E538" s="8">
        <f>IF(A538="","",N(C538)-N(D538))</f>
        <v/>
      </c>
    </row>
    <row r="539" spans="5:5">
      <c r="E539" s="8">
        <f>IF(A539="","",N(C539)-N(D539))</f>
        <v/>
      </c>
    </row>
    <row r="540" spans="5:5">
      <c r="E540" s="8">
        <f>IF(A540="","",N(C540)-N(D540))</f>
        <v/>
      </c>
    </row>
    <row r="541" spans="5:5">
      <c r="E541" s="8">
        <f>IF(A541="","",N(C541)-N(D541))</f>
        <v/>
      </c>
    </row>
    <row r="542" spans="5:5">
      <c r="E542" s="8">
        <f>IF(A542="","",N(C542)-N(D542))</f>
        <v/>
      </c>
    </row>
    <row r="543" spans="5:5">
      <c r="E543" s="8">
        <f>IF(A543="","",N(C543)-N(D543))</f>
        <v/>
      </c>
    </row>
    <row r="544" spans="5:5">
      <c r="E544" s="8">
        <f>IF(A544="","",N(C544)-N(D544))</f>
        <v/>
      </c>
    </row>
    <row r="545" spans="5:5">
      <c r="E545" s="8">
        <f>IF(A545="","",N(C545)-N(D545))</f>
        <v/>
      </c>
    </row>
    <row r="546" spans="5:5">
      <c r="E546" s="8">
        <f>IF(A546="","",N(C546)-N(D546))</f>
        <v/>
      </c>
    </row>
    <row r="547" spans="5:5">
      <c r="E547" s="8">
        <f>IF(A547="","",N(C547)-N(D547))</f>
        <v/>
      </c>
    </row>
    <row r="548" spans="5:5">
      <c r="E548" s="8">
        <f>IF(A548="","",N(C548)-N(D548))</f>
        <v/>
      </c>
    </row>
    <row r="549" spans="5:5">
      <c r="E549" s="8">
        <f>IF(A549="","",N(C549)-N(D549))</f>
        <v/>
      </c>
    </row>
    <row r="550" spans="5:5">
      <c r="E550" s="8">
        <f>IF(A550="","",N(C550)-N(D550))</f>
        <v/>
      </c>
    </row>
    <row r="551" spans="5:5">
      <c r="E551" s="8">
        <f>IF(A551="","",N(C551)-N(D551))</f>
        <v/>
      </c>
    </row>
    <row r="552" spans="5:5">
      <c r="E552" s="8">
        <f>IF(A552="","",N(C552)-N(D552))</f>
        <v/>
      </c>
    </row>
    <row r="553" spans="5:5">
      <c r="E553" s="8">
        <f>IF(A553="","",N(C553)-N(D553))</f>
        <v/>
      </c>
    </row>
    <row r="554" spans="5:5">
      <c r="E554" s="8">
        <f>IF(A554="","",N(C554)-N(D554))</f>
        <v/>
      </c>
    </row>
    <row r="555" spans="5:5">
      <c r="E555" s="8">
        <f>IF(A555="","",N(C555)-N(D555))</f>
        <v/>
      </c>
    </row>
    <row r="556" spans="5:5">
      <c r="E556" s="8">
        <f>IF(A556="","",N(C556)-N(D556))</f>
        <v/>
      </c>
    </row>
    <row r="557" spans="5:5">
      <c r="E557" s="8">
        <f>IF(A557="","",N(C557)-N(D557))</f>
        <v/>
      </c>
    </row>
    <row r="558" spans="5:5">
      <c r="E558" s="8">
        <f>IF(A558="","",N(C558)-N(D558))</f>
        <v/>
      </c>
    </row>
    <row r="559" spans="5:5">
      <c r="E559" s="8">
        <f>IF(A559="","",N(C559)-N(D559))</f>
        <v/>
      </c>
    </row>
    <row r="560" spans="5:5">
      <c r="E560" s="8">
        <f>IF(A560="","",N(C560)-N(D560))</f>
        <v/>
      </c>
    </row>
    <row r="561" spans="5:5">
      <c r="E561" s="8">
        <f>IF(A561="","",N(C561)-N(D561))</f>
        <v/>
      </c>
    </row>
    <row r="562" spans="5:5">
      <c r="E562" s="8">
        <f>IF(A562="","",N(C562)-N(D562))</f>
        <v/>
      </c>
    </row>
    <row r="563" spans="5:5">
      <c r="E563" s="8">
        <f>IF(A563="","",N(C563)-N(D563))</f>
        <v/>
      </c>
    </row>
    <row r="564" spans="5:5">
      <c r="E564" s="8">
        <f>IF(A564="","",N(C564)-N(D564))</f>
        <v/>
      </c>
    </row>
    <row r="565" spans="5:5">
      <c r="E565" s="8">
        <f>IF(A565="","",N(C565)-N(D565))</f>
        <v/>
      </c>
    </row>
    <row r="566" spans="5:5">
      <c r="E566" s="8">
        <f>IF(A566="","",N(C566)-N(D566))</f>
        <v/>
      </c>
    </row>
    <row r="567" spans="5:5">
      <c r="E567" s="8">
        <f>IF(A567="","",N(C567)-N(D567))</f>
        <v/>
      </c>
    </row>
    <row r="568" spans="5:5">
      <c r="E568" s="8">
        <f>IF(A568="","",N(C568)-N(D568))</f>
        <v/>
      </c>
    </row>
    <row r="569" spans="5:5">
      <c r="E569" s="8">
        <f>IF(A569="","",N(C569)-N(D569))</f>
        <v/>
      </c>
    </row>
    <row r="570" spans="5:5">
      <c r="E570" s="8">
        <f>IF(A570="","",N(C570)-N(D570))</f>
        <v/>
      </c>
    </row>
    <row r="571" spans="5:5">
      <c r="E571" s="8">
        <f>IF(A571="","",N(C571)-N(D571))</f>
        <v/>
      </c>
    </row>
    <row r="572" spans="5:5">
      <c r="E572" s="8">
        <f>IF(A572="","",N(C572)-N(D572))</f>
        <v/>
      </c>
    </row>
    <row r="573" spans="5:5">
      <c r="E573" s="8">
        <f>IF(A573="","",N(C573)-N(D573))</f>
        <v/>
      </c>
    </row>
    <row r="574" spans="5:5">
      <c r="E574" s="8">
        <f>IF(A574="","",N(C574)-N(D574))</f>
        <v/>
      </c>
    </row>
    <row r="575" spans="5:5">
      <c r="E575" s="8">
        <f>IF(A575="","",N(C575)-N(D575))</f>
        <v/>
      </c>
    </row>
    <row r="576" spans="5:5">
      <c r="E576" s="8">
        <f>IF(A576="","",N(C576)-N(D576))</f>
        <v/>
      </c>
    </row>
    <row r="577" spans="5:5">
      <c r="E577" s="8">
        <f>IF(A577="","",N(C577)-N(D577))</f>
        <v/>
      </c>
    </row>
    <row r="578" spans="5:5">
      <c r="E578" s="8">
        <f>IF(A578="","",N(C578)-N(D578))</f>
        <v/>
      </c>
    </row>
    <row r="579" spans="5:5">
      <c r="E579" s="8">
        <f>IF(A579="","",N(C579)-N(D579))</f>
        <v/>
      </c>
    </row>
    <row r="580" spans="5:5">
      <c r="E580" s="8">
        <f>IF(A580="","",N(C580)-N(D580))</f>
        <v/>
      </c>
    </row>
    <row r="581" spans="5:5">
      <c r="E581" s="8">
        <f>IF(A581="","",N(C581)-N(D581))</f>
        <v/>
      </c>
    </row>
    <row r="582" spans="5:5">
      <c r="E582" s="8">
        <f>IF(A582="","",N(C582)-N(D582))</f>
        <v/>
      </c>
    </row>
    <row r="583" spans="5:5">
      <c r="E583" s="8">
        <f>IF(A583="","",N(C583)-N(D583))</f>
        <v/>
      </c>
    </row>
    <row r="584" spans="5:5">
      <c r="E584" s="8">
        <f>IF(A584="","",N(C584)-N(D584))</f>
        <v/>
      </c>
    </row>
    <row r="585" spans="5:5">
      <c r="E585" s="8">
        <f>IF(A585="","",N(C585)-N(D585))</f>
        <v/>
      </c>
    </row>
    <row r="586" spans="5:5">
      <c r="E586" s="8">
        <f>IF(A586="","",N(C586)-N(D586))</f>
        <v/>
      </c>
    </row>
    <row r="587" spans="5:5">
      <c r="E587" s="8">
        <f>IF(A587="","",N(C587)-N(D587))</f>
        <v/>
      </c>
    </row>
    <row r="588" spans="5:5">
      <c r="E588" s="8">
        <f>IF(A588="","",N(C588)-N(D588))</f>
        <v/>
      </c>
    </row>
    <row r="589" spans="5:5">
      <c r="E589" s="8">
        <f>IF(A589="","",N(C589)-N(D589))</f>
        <v/>
      </c>
    </row>
    <row r="590" spans="5:5">
      <c r="E590" s="8">
        <f>IF(A590="","",N(C590)-N(D590))</f>
        <v/>
      </c>
    </row>
    <row r="591" spans="5:5">
      <c r="E591" s="8">
        <f>IF(A591="","",N(C591)-N(D591))</f>
        <v/>
      </c>
    </row>
    <row r="592" spans="5:5">
      <c r="E592" s="8">
        <f>IF(A592="","",N(C592)-N(D592))</f>
        <v/>
      </c>
    </row>
    <row r="593" spans="5:5">
      <c r="E593" s="8">
        <f>IF(A593="","",N(C593)-N(D593))</f>
        <v/>
      </c>
    </row>
    <row r="594" spans="5:5">
      <c r="E594" s="8">
        <f>IF(A594="","",N(C594)-N(D594))</f>
        <v/>
      </c>
    </row>
    <row r="595" spans="5:5">
      <c r="E595" s="8">
        <f>IF(A595="","",N(C595)-N(D595))</f>
        <v/>
      </c>
    </row>
    <row r="596" spans="5:5">
      <c r="E596" s="8">
        <f>IF(A596="","",N(C596)-N(D596))</f>
        <v/>
      </c>
    </row>
    <row r="597" spans="5:5">
      <c r="E597" s="8">
        <f>IF(A597="","",N(C597)-N(D597))</f>
        <v/>
      </c>
    </row>
    <row r="598" spans="5:5">
      <c r="E598" s="8">
        <f>IF(A598="","",N(C598)-N(D598))</f>
        <v/>
      </c>
    </row>
    <row r="599" spans="5:5">
      <c r="E599" s="8">
        <f>IF(A599="","",N(C599)-N(D599))</f>
        <v/>
      </c>
    </row>
    <row r="600" spans="5:5">
      <c r="E600" s="8">
        <f>IF(A600="","",N(C600)-N(D600))</f>
        <v/>
      </c>
    </row>
    <row r="601" spans="5:5">
      <c r="E601" s="8">
        <f>IF(A601="","",N(C601)-N(D601))</f>
        <v/>
      </c>
    </row>
    <row r="602" spans="5:5">
      <c r="E602" s="8">
        <f>IF(A602="","",N(C602)-N(D602))</f>
        <v/>
      </c>
    </row>
    <row r="603" spans="5:5">
      <c r="E603" s="8">
        <f>IF(A603="","",N(C603)-N(D603))</f>
        <v/>
      </c>
    </row>
    <row r="604" spans="5:5">
      <c r="E604" s="8">
        <f>IF(A604="","",N(C604)-N(D604))</f>
        <v/>
      </c>
    </row>
    <row r="605" spans="5:5">
      <c r="E605" s="8">
        <f>IF(A605="","",N(C605)-N(D605))</f>
        <v/>
      </c>
    </row>
    <row r="606" spans="5:5">
      <c r="E606" s="8">
        <f>IF(A606="","",N(C606)-N(D606))</f>
        <v/>
      </c>
    </row>
    <row r="607" spans="5:5">
      <c r="E607" s="8">
        <f>IF(A607="","",N(C607)-N(D607))</f>
        <v/>
      </c>
    </row>
    <row r="608" spans="5:5">
      <c r="E608" s="8">
        <f>IF(A608="","",N(C608)-N(D608))</f>
        <v/>
      </c>
    </row>
    <row r="609" spans="5:5">
      <c r="E609" s="8">
        <f>IF(A609="","",N(C609)-N(D609))</f>
        <v/>
      </c>
    </row>
    <row r="610" spans="5:5">
      <c r="E610" s="8">
        <f>IF(A610="","",N(C610)-N(D610))</f>
        <v/>
      </c>
    </row>
    <row r="611" spans="5:5">
      <c r="E611" s="8">
        <f>IF(A611="","",N(C611)-N(D611))</f>
        <v/>
      </c>
    </row>
    <row r="612" spans="5:5">
      <c r="E612" s="8">
        <f>IF(A612="","",N(C612)-N(D612))</f>
        <v/>
      </c>
    </row>
    <row r="613" spans="5:5">
      <c r="E613" s="8">
        <f>IF(A613="","",N(C613)-N(D613))</f>
        <v/>
      </c>
    </row>
    <row r="614" spans="5:5">
      <c r="E614" s="8">
        <f>IF(A614="","",N(C614)-N(D614))</f>
        <v/>
      </c>
    </row>
    <row r="615" spans="5:5">
      <c r="E615" s="8">
        <f>IF(A615="","",N(C615)-N(D615))</f>
        <v/>
      </c>
    </row>
    <row r="616" spans="5:5">
      <c r="E616" s="8">
        <f>IF(A616="","",N(C616)-N(D616))</f>
        <v/>
      </c>
    </row>
    <row r="617" spans="5:5">
      <c r="E617" s="8">
        <f>IF(A617="","",N(C617)-N(D617))</f>
        <v/>
      </c>
    </row>
    <row r="618" spans="5:5">
      <c r="E618" s="8">
        <f>IF(A618="","",N(C618)-N(D618))</f>
        <v/>
      </c>
    </row>
    <row r="619" spans="5:5">
      <c r="E619" s="8">
        <f>IF(A619="","",N(C619)-N(D619))</f>
        <v/>
      </c>
    </row>
    <row r="620" spans="5:5">
      <c r="E620" s="8">
        <f>IF(A620="","",N(C620)-N(D620))</f>
        <v/>
      </c>
    </row>
    <row r="621" spans="5:5">
      <c r="E621" s="8">
        <f>IF(A621="","",N(C621)-N(D621))</f>
        <v/>
      </c>
    </row>
    <row r="622" spans="5:5">
      <c r="E622" s="8">
        <f>IF(A622="","",N(C622)-N(D622))</f>
        <v/>
      </c>
    </row>
    <row r="623" spans="5:5">
      <c r="E623" s="8">
        <f>IF(A623="","",N(C623)-N(D623))</f>
        <v/>
      </c>
    </row>
    <row r="624" spans="5:5">
      <c r="E624" s="8">
        <f>IF(A624="","",N(C624)-N(D624))</f>
        <v/>
      </c>
    </row>
    <row r="625" spans="5:5">
      <c r="E625" s="8">
        <f>IF(A625="","",N(C625)-N(D625))</f>
        <v/>
      </c>
    </row>
    <row r="626" spans="5:5">
      <c r="E626" s="8">
        <f>IF(A626="","",N(C626)-N(D626))</f>
        <v/>
      </c>
    </row>
    <row r="627" spans="5:5">
      <c r="E627" s="8">
        <f>IF(A627="","",N(C627)-N(D627))</f>
        <v/>
      </c>
    </row>
    <row r="628" spans="5:5">
      <c r="E628" s="8">
        <f>IF(A628="","",N(C628)-N(D628))</f>
        <v/>
      </c>
    </row>
    <row r="629" spans="5:5">
      <c r="E629" s="8">
        <f>IF(A629="","",N(C629)-N(D629))</f>
        <v/>
      </c>
    </row>
    <row r="630" spans="5:5">
      <c r="E630" s="8">
        <f>IF(A630="","",N(C630)-N(D630))</f>
        <v/>
      </c>
    </row>
    <row r="631" spans="5:5">
      <c r="E631" s="8">
        <f>IF(A631="","",N(C631)-N(D631))</f>
        <v/>
      </c>
    </row>
    <row r="632" spans="5:5">
      <c r="E632" s="8">
        <f>IF(A632="","",N(C632)-N(D632))</f>
        <v/>
      </c>
    </row>
    <row r="633" spans="5:5">
      <c r="E633" s="8">
        <f>IF(A633="","",N(C633)-N(D633))</f>
        <v/>
      </c>
    </row>
    <row r="634" spans="5:5">
      <c r="E634" s="8">
        <f>IF(A634="","",N(C634)-N(D634))</f>
        <v/>
      </c>
    </row>
    <row r="635" spans="5:5">
      <c r="E635" s="8">
        <f>IF(A635="","",N(C635)-N(D635))</f>
        <v/>
      </c>
    </row>
    <row r="636" spans="5:5">
      <c r="E636" s="8">
        <f>IF(A636="","",N(C636)-N(D636))</f>
        <v/>
      </c>
    </row>
    <row r="637" spans="5:5">
      <c r="E637" s="8">
        <f>IF(A637="","",N(C637)-N(D637))</f>
        <v/>
      </c>
    </row>
    <row r="638" spans="5:5">
      <c r="E638" s="8">
        <f>IF(A638="","",N(C638)-N(D638))</f>
        <v/>
      </c>
    </row>
    <row r="639" spans="5:5">
      <c r="E639" s="8">
        <f>IF(A639="","",N(C639)-N(D639))</f>
        <v/>
      </c>
    </row>
    <row r="640" spans="5:5">
      <c r="E640" s="8">
        <f>IF(A640="","",N(C640)-N(D640))</f>
        <v/>
      </c>
    </row>
    <row r="641" spans="5:5">
      <c r="E641" s="8">
        <f>IF(A641="","",N(C641)-N(D641))</f>
        <v/>
      </c>
    </row>
    <row r="642" spans="5:5">
      <c r="E642" s="8">
        <f>IF(A642="","",N(C642)-N(D642))</f>
        <v/>
      </c>
    </row>
    <row r="643" spans="5:5">
      <c r="E643" s="8">
        <f>IF(A643="","",N(C643)-N(D643))</f>
        <v/>
      </c>
    </row>
    <row r="644" spans="5:5">
      <c r="E644" s="8">
        <f>IF(A644="","",N(C644)-N(D644))</f>
        <v/>
      </c>
    </row>
    <row r="645" spans="5:5">
      <c r="E645" s="8">
        <f>IF(A645="","",N(C645)-N(D645))</f>
        <v/>
      </c>
    </row>
    <row r="646" spans="5:5">
      <c r="E646" s="8">
        <f>IF(A646="","",N(C646)-N(D646))</f>
        <v/>
      </c>
    </row>
    <row r="647" spans="5:5">
      <c r="E647" s="8">
        <f>IF(A647="","",N(C647)-N(D647))</f>
        <v/>
      </c>
    </row>
    <row r="648" spans="5:5">
      <c r="E648" s="8">
        <f>IF(A648="","",N(C648)-N(D648))</f>
        <v/>
      </c>
    </row>
    <row r="649" spans="5:5">
      <c r="E649" s="8">
        <f>IF(A649="","",N(C649)-N(D649))</f>
        <v/>
      </c>
    </row>
    <row r="650" spans="5:5">
      <c r="E650" s="8">
        <f>IF(A650="","",N(C650)-N(D650))</f>
        <v/>
      </c>
    </row>
    <row r="651" spans="5:5">
      <c r="E651" s="8">
        <f>IF(A651="","",N(C651)-N(D651))</f>
        <v/>
      </c>
    </row>
    <row r="652" spans="5:5">
      <c r="E652" s="8">
        <f>IF(A652="","",N(C652)-N(D652))</f>
        <v/>
      </c>
    </row>
    <row r="653" spans="5:5">
      <c r="E653" s="8">
        <f>IF(A653="","",N(C653)-N(D653))</f>
        <v/>
      </c>
    </row>
    <row r="654" spans="5:5">
      <c r="E654" s="8">
        <f>IF(A654="","",N(C654)-N(D654))</f>
        <v/>
      </c>
    </row>
    <row r="655" spans="5:5">
      <c r="E655" s="8">
        <f>IF(A655="","",N(C655)-N(D655))</f>
        <v/>
      </c>
    </row>
    <row r="656" spans="5:5">
      <c r="E656" s="8">
        <f>IF(A656="","",N(C656)-N(D656))</f>
        <v/>
      </c>
    </row>
    <row r="657" spans="5:5">
      <c r="E657" s="8">
        <f>IF(A657="","",N(C657)-N(D657))</f>
        <v/>
      </c>
    </row>
    <row r="658" spans="5:5">
      <c r="E658" s="8">
        <f>IF(A658="","",N(C658)-N(D658))</f>
        <v/>
      </c>
    </row>
    <row r="659" spans="5:5">
      <c r="E659" s="8">
        <f>IF(A659="","",N(C659)-N(D659))</f>
        <v/>
      </c>
    </row>
    <row r="660" spans="5:5">
      <c r="E660" s="8">
        <f>IF(A660="","",N(C660)-N(D660))</f>
        <v/>
      </c>
    </row>
    <row r="661" spans="5:5">
      <c r="E661" s="8">
        <f>IF(A661="","",N(C661)-N(D661))</f>
        <v/>
      </c>
    </row>
    <row r="662" spans="5:5">
      <c r="E662" s="8">
        <f>IF(A662="","",N(C662)-N(D662))</f>
        <v/>
      </c>
    </row>
    <row r="663" spans="5:5">
      <c r="E663" s="8">
        <f>IF(A663="","",N(C663)-N(D663))</f>
        <v/>
      </c>
    </row>
    <row r="664" spans="5:5">
      <c r="E664" s="8">
        <f>IF(A664="","",N(C664)-N(D664))</f>
        <v/>
      </c>
    </row>
    <row r="665" spans="5:5">
      <c r="E665" s="8">
        <f>IF(A665="","",N(C665)-N(D665))</f>
        <v/>
      </c>
    </row>
    <row r="666" spans="5:5">
      <c r="E666" s="8">
        <f>IF(A666="","",N(C666)-N(D666))</f>
        <v/>
      </c>
    </row>
    <row r="667" spans="5:5">
      <c r="E667" s="8">
        <f>IF(A667="","",N(C667)-N(D667))</f>
        <v/>
      </c>
    </row>
    <row r="668" spans="5:5">
      <c r="E668" s="8">
        <f>IF(A668="","",N(C668)-N(D668))</f>
        <v/>
      </c>
    </row>
    <row r="669" spans="5:5">
      <c r="E669" s="8">
        <f>IF(A669="","",N(C669)-N(D669))</f>
        <v/>
      </c>
    </row>
    <row r="670" spans="5:5">
      <c r="E670" s="8">
        <f>IF(A670="","",N(C670)-N(D670))</f>
        <v/>
      </c>
    </row>
    <row r="671" spans="5:5">
      <c r="E671" s="8">
        <f>IF(A671="","",N(C671)-N(D671))</f>
        <v/>
      </c>
    </row>
    <row r="672" spans="5:5">
      <c r="E672" s="8">
        <f>IF(A672="","",N(C672)-N(D672))</f>
        <v/>
      </c>
    </row>
    <row r="673" spans="5:5">
      <c r="E673" s="8">
        <f>IF(A673="","",N(C673)-N(D673))</f>
        <v/>
      </c>
    </row>
    <row r="674" spans="5:5">
      <c r="E674" s="8">
        <f>IF(A674="","",N(C674)-N(D674))</f>
        <v/>
      </c>
    </row>
    <row r="675" spans="5:5">
      <c r="E675" s="8">
        <f>IF(A675="","",N(C675)-N(D675))</f>
        <v/>
      </c>
    </row>
    <row r="676" spans="5:5">
      <c r="E676" s="8">
        <f>IF(A676="","",N(C676)-N(D676))</f>
        <v/>
      </c>
    </row>
    <row r="677" spans="5:5">
      <c r="E677" s="8">
        <f>IF(A677="","",N(C677)-N(D677))</f>
        <v/>
      </c>
    </row>
    <row r="678" spans="5:5">
      <c r="E678" s="8">
        <f>IF(A678="","",N(C678)-N(D678))</f>
        <v/>
      </c>
    </row>
    <row r="679" spans="5:5">
      <c r="E679" s="8">
        <f>IF(A679="","",N(C679)-N(D679))</f>
        <v/>
      </c>
    </row>
    <row r="680" spans="5:5">
      <c r="E680" s="8">
        <f>IF(A680="","",N(C680)-N(D680))</f>
        <v/>
      </c>
    </row>
    <row r="681" spans="5:5">
      <c r="E681" s="8">
        <f>IF(A681="","",N(C681)-N(D681))</f>
        <v/>
      </c>
    </row>
    <row r="682" spans="5:5">
      <c r="E682" s="8">
        <f>IF(A682="","",N(C682)-N(D682))</f>
        <v/>
      </c>
    </row>
    <row r="683" spans="5:5">
      <c r="E683" s="8">
        <f>IF(A683="","",N(C683)-N(D683))</f>
        <v/>
      </c>
    </row>
    <row r="684" spans="5:5">
      <c r="E684" s="8">
        <f>IF(A684="","",N(C684)-N(D684))</f>
        <v/>
      </c>
    </row>
    <row r="685" spans="5:5">
      <c r="E685" s="8">
        <f>IF(A685="","",N(C685)-N(D685))</f>
        <v/>
      </c>
    </row>
    <row r="686" spans="5:5">
      <c r="E686" s="8">
        <f>IF(A686="","",N(C686)-N(D686))</f>
        <v/>
      </c>
    </row>
    <row r="687" spans="5:5">
      <c r="E687" s="8">
        <f>IF(A687="","",N(C687)-N(D687))</f>
        <v/>
      </c>
    </row>
    <row r="688" spans="5:5">
      <c r="E688" s="8">
        <f>IF(A688="","",N(C688)-N(D688))</f>
        <v/>
      </c>
    </row>
    <row r="689" spans="5:5">
      <c r="E689" s="8">
        <f>IF(A689="","",N(C689)-N(D689))</f>
        <v/>
      </c>
    </row>
    <row r="690" spans="5:5">
      <c r="E690" s="8">
        <f>IF(A690="","",N(C690)-N(D690))</f>
        <v/>
      </c>
    </row>
    <row r="691" spans="5:5">
      <c r="E691" s="8">
        <f>IF(A691="","",N(C691)-N(D691))</f>
        <v/>
      </c>
    </row>
    <row r="692" spans="5:5">
      <c r="E692" s="8">
        <f>IF(A692="","",N(C692)-N(D692))</f>
        <v/>
      </c>
    </row>
    <row r="693" spans="5:5">
      <c r="E693" s="8">
        <f>IF(A693="","",N(C693)-N(D693))</f>
        <v/>
      </c>
    </row>
    <row r="694" spans="5:5">
      <c r="E694" s="8">
        <f>IF(A694="","",N(C694)-N(D694))</f>
        <v/>
      </c>
    </row>
    <row r="695" spans="5:5">
      <c r="E695" s="8">
        <f>IF(A695="","",N(C695)-N(D695))</f>
        <v/>
      </c>
    </row>
    <row r="696" spans="5:5">
      <c r="E696" s="8">
        <f>IF(A696="","",N(C696)-N(D696))</f>
        <v/>
      </c>
    </row>
    <row r="697" spans="5:5">
      <c r="E697" s="8">
        <f>IF(A697="","",N(C697)-N(D697))</f>
        <v/>
      </c>
    </row>
    <row r="698" spans="5:5">
      <c r="E698" s="8">
        <f>IF(A698="","",N(C698)-N(D698))</f>
        <v/>
      </c>
    </row>
    <row r="699" spans="5:5">
      <c r="E699" s="8">
        <f>IF(A699="","",N(C699)-N(D699))</f>
        <v/>
      </c>
    </row>
    <row r="700" spans="5:5">
      <c r="E700" s="8">
        <f>IF(A700="","",N(C700)-N(D700))</f>
        <v/>
      </c>
    </row>
    <row r="701" spans="5:5">
      <c r="E701" s="8">
        <f>IF(A701="","",N(C701)-N(D701))</f>
        <v/>
      </c>
    </row>
    <row r="702" spans="5:5">
      <c r="E702" s="8">
        <f>IF(A702="","",N(C702)-N(D702))</f>
        <v/>
      </c>
    </row>
    <row r="703" spans="5:5">
      <c r="E703" s="8">
        <f>IF(A703="","",N(C703)-N(D703))</f>
        <v/>
      </c>
    </row>
    <row r="704" spans="5:5">
      <c r="E704" s="8">
        <f>IF(A704="","",N(C704)-N(D704))</f>
        <v/>
      </c>
    </row>
    <row r="705" spans="5:5">
      <c r="E705" s="8">
        <f>IF(A705="","",N(C705)-N(D705))</f>
        <v/>
      </c>
    </row>
    <row r="706" spans="5:5">
      <c r="E706" s="8">
        <f>IF(A706="","",N(C706)-N(D706))</f>
        <v/>
      </c>
    </row>
    <row r="707" spans="5:5">
      <c r="E707" s="8">
        <f>IF(A707="","",N(C707)-N(D707))</f>
        <v/>
      </c>
    </row>
    <row r="708" spans="5:5">
      <c r="E708" s="8">
        <f>IF(A708="","",N(C708)-N(D708))</f>
        <v/>
      </c>
    </row>
    <row r="709" spans="5:5">
      <c r="E709" s="8">
        <f>IF(A709="","",N(C709)-N(D709))</f>
        <v/>
      </c>
    </row>
    <row r="710" spans="5:5">
      <c r="E710" s="8">
        <f>IF(A710="","",N(C710)-N(D710))</f>
        <v/>
      </c>
    </row>
    <row r="711" spans="5:5">
      <c r="E711" s="8">
        <f>IF(A711="","",N(C711)-N(D711))</f>
        <v/>
      </c>
    </row>
    <row r="712" spans="5:5">
      <c r="E712" s="8">
        <f>IF(A712="","",N(C712)-N(D712))</f>
        <v/>
      </c>
    </row>
    <row r="713" spans="5:5">
      <c r="E713" s="8">
        <f>IF(A713="","",N(C713)-N(D713))</f>
        <v/>
      </c>
    </row>
    <row r="714" spans="5:5">
      <c r="E714" s="8">
        <f>IF(A714="","",N(C714)-N(D714))</f>
        <v/>
      </c>
    </row>
    <row r="715" spans="5:5">
      <c r="E715" s="8">
        <f>IF(A715="","",N(C715)-N(D715))</f>
        <v/>
      </c>
    </row>
    <row r="716" spans="5:5">
      <c r="E716" s="8">
        <f>IF(A716="","",N(C716)-N(D716))</f>
        <v/>
      </c>
    </row>
    <row r="717" spans="5:5">
      <c r="E717" s="8">
        <f>IF(A717="","",N(C717)-N(D717))</f>
        <v/>
      </c>
    </row>
    <row r="718" spans="5:5">
      <c r="E718" s="8">
        <f>IF(A718="","",N(C718)-N(D718))</f>
        <v/>
      </c>
    </row>
    <row r="719" spans="5:5">
      <c r="E719" s="8">
        <f>IF(A719="","",N(C719)-N(D719))</f>
        <v/>
      </c>
    </row>
    <row r="720" spans="5:5">
      <c r="E720" s="8">
        <f>IF(A720="","",N(C720)-N(D720))</f>
        <v/>
      </c>
    </row>
    <row r="721" spans="5:5">
      <c r="E721" s="8">
        <f>IF(A721="","",N(C721)-N(D721))</f>
        <v/>
      </c>
    </row>
    <row r="722" spans="5:5">
      <c r="E722" s="8">
        <f>IF(A722="","",N(C722)-N(D722))</f>
        <v/>
      </c>
    </row>
    <row r="723" spans="5:5">
      <c r="E723" s="8">
        <f>IF(A723="","",N(C723)-N(D723))</f>
        <v/>
      </c>
    </row>
    <row r="724" spans="5:5">
      <c r="E724" s="8">
        <f>IF(A724="","",N(C724)-N(D724))</f>
        <v/>
      </c>
    </row>
    <row r="725" spans="5:5">
      <c r="E725" s="8">
        <f>IF(A725="","",N(C725)-N(D725))</f>
        <v/>
      </c>
    </row>
    <row r="726" spans="5:5">
      <c r="E726" s="8">
        <f>IF(A726="","",N(C726)-N(D726))</f>
        <v/>
      </c>
    </row>
    <row r="727" spans="5:5">
      <c r="E727" s="8">
        <f>IF(A727="","",N(C727)-N(D727))</f>
        <v/>
      </c>
    </row>
    <row r="728" spans="5:5">
      <c r="E728" s="8">
        <f>IF(A728="","",N(C728)-N(D728))</f>
        <v/>
      </c>
    </row>
    <row r="729" spans="5:5">
      <c r="E729" s="8">
        <f>IF(A729="","",N(C729)-N(D729))</f>
        <v/>
      </c>
    </row>
    <row r="730" spans="5:5">
      <c r="E730" s="8">
        <f>IF(A730="","",N(C730)-N(D730))</f>
        <v/>
      </c>
    </row>
    <row r="731" spans="5:5">
      <c r="E731" s="8">
        <f>IF(A731="","",N(C731)-N(D731))</f>
        <v/>
      </c>
    </row>
    <row r="732" spans="5:5">
      <c r="E732" s="8">
        <f>IF(A732="","",N(C732)-N(D732))</f>
        <v/>
      </c>
    </row>
    <row r="733" spans="5:5">
      <c r="E733" s="8">
        <f>IF(A733="","",N(C733)-N(D733))</f>
        <v/>
      </c>
    </row>
    <row r="734" spans="5:5">
      <c r="E734" s="8">
        <f>IF(A734="","",N(C734)-N(D734))</f>
        <v/>
      </c>
    </row>
    <row r="735" spans="5:5">
      <c r="E735" s="8">
        <f>IF(A735="","",N(C735)-N(D735))</f>
        <v/>
      </c>
    </row>
    <row r="736" spans="5:5">
      <c r="E736" s="8">
        <f>IF(A736="","",N(C736)-N(D736))</f>
        <v/>
      </c>
    </row>
    <row r="737" spans="5:5">
      <c r="E737" s="8">
        <f>IF(A737="","",N(C737)-N(D737))</f>
        <v/>
      </c>
    </row>
    <row r="738" spans="5:5">
      <c r="E738" s="8">
        <f>IF(A738="","",N(C738)-N(D738))</f>
        <v/>
      </c>
    </row>
    <row r="739" spans="5:5">
      <c r="E739" s="8">
        <f>IF(A739="","",N(C739)-N(D739))</f>
        <v/>
      </c>
    </row>
    <row r="740" spans="5:5">
      <c r="E740" s="8">
        <f>IF(A740="","",N(C740)-N(D740))</f>
        <v/>
      </c>
    </row>
    <row r="741" spans="5:5">
      <c r="E741" s="8">
        <f>IF(A741="","",N(C741)-N(D741))</f>
        <v/>
      </c>
    </row>
    <row r="742" spans="5:5">
      <c r="E742" s="8">
        <f>IF(A742="","",N(C742)-N(D742))</f>
        <v/>
      </c>
    </row>
    <row r="743" spans="5:5">
      <c r="E743" s="8">
        <f>IF(A743="","",N(C743)-N(D743))</f>
        <v/>
      </c>
    </row>
    <row r="744" spans="5:5">
      <c r="E744" s="8">
        <f>IF(A744="","",N(C744)-N(D744))</f>
        <v/>
      </c>
    </row>
    <row r="745" spans="5:5">
      <c r="E745" s="8">
        <f>IF(A745="","",N(C745)-N(D745))</f>
        <v/>
      </c>
    </row>
    <row r="746" spans="5:5">
      <c r="E746" s="8">
        <f>IF(A746="","",N(C746)-N(D746))</f>
        <v/>
      </c>
    </row>
    <row r="747" spans="5:5">
      <c r="E747" s="8">
        <f>IF(A747="","",N(C747)-N(D747))</f>
        <v/>
      </c>
    </row>
    <row r="748" spans="5:5">
      <c r="E748" s="8">
        <f>IF(A748="","",N(C748)-N(D748))</f>
        <v/>
      </c>
    </row>
    <row r="749" spans="5:5">
      <c r="E749" s="8">
        <f>IF(A749="","",N(C749)-N(D749))</f>
        <v/>
      </c>
    </row>
    <row r="750" spans="5:5">
      <c r="E750" s="8">
        <f>IF(A750="","",N(C750)-N(D750))</f>
        <v/>
      </c>
    </row>
    <row r="751" spans="5:5">
      <c r="E751" s="8">
        <f>IF(A751="","",N(C751)-N(D751))</f>
        <v/>
      </c>
    </row>
    <row r="752" spans="5:5">
      <c r="E752" s="8">
        <f>IF(A752="","",N(C752)-N(D752))</f>
        <v/>
      </c>
    </row>
    <row r="753" spans="5:5">
      <c r="E753" s="8">
        <f>IF(A753="","",N(C753)-N(D753))</f>
        <v/>
      </c>
    </row>
    <row r="754" spans="5:5">
      <c r="E754" s="8">
        <f>IF(A754="","",N(C754)-N(D754))</f>
        <v/>
      </c>
    </row>
    <row r="755" spans="5:5">
      <c r="E755" s="8">
        <f>IF(A755="","",N(C755)-N(D755))</f>
        <v/>
      </c>
    </row>
    <row r="756" spans="5:5">
      <c r="E756" s="8">
        <f>IF(A756="","",N(C756)-N(D756))</f>
        <v/>
      </c>
    </row>
    <row r="757" spans="5:5">
      <c r="E757" s="8">
        <f>IF(A757="","",N(C757)-N(D757))</f>
        <v/>
      </c>
    </row>
    <row r="758" spans="5:5">
      <c r="E758" s="8">
        <f>IF(A758="","",N(C758)-N(D758))</f>
        <v/>
      </c>
    </row>
    <row r="759" spans="5:5">
      <c r="E759" s="8">
        <f>IF(A759="","",N(C759)-N(D759))</f>
        <v/>
      </c>
    </row>
    <row r="760" spans="5:5">
      <c r="E760" s="8">
        <f>IF(A760="","",N(C760)-N(D760))</f>
        <v/>
      </c>
    </row>
    <row r="761" spans="5:5">
      <c r="E761" s="8">
        <f>IF(A761="","",N(C761)-N(D761))</f>
        <v/>
      </c>
    </row>
    <row r="762" spans="5:5">
      <c r="E762" s="8">
        <f>IF(A762="","",N(C762)-N(D762))</f>
        <v/>
      </c>
    </row>
    <row r="763" spans="5:5">
      <c r="E763" s="8">
        <f>IF(A763="","",N(C763)-N(D763))</f>
        <v/>
      </c>
    </row>
    <row r="764" spans="5:5">
      <c r="E764" s="8">
        <f>IF(A764="","",N(C764)-N(D764))</f>
        <v/>
      </c>
    </row>
    <row r="765" spans="5:5">
      <c r="E765" s="8">
        <f>IF(A765="","",N(C765)-N(D765))</f>
        <v/>
      </c>
    </row>
    <row r="766" spans="5:5">
      <c r="E766" s="8">
        <f>IF(A766="","",N(C766)-N(D766))</f>
        <v/>
      </c>
    </row>
    <row r="767" spans="5:5">
      <c r="E767" s="8">
        <f>IF(A767="","",N(C767)-N(D767))</f>
        <v/>
      </c>
    </row>
    <row r="768" spans="5:5">
      <c r="E768" s="8">
        <f>IF(A768="","",N(C768)-N(D768))</f>
        <v/>
      </c>
    </row>
    <row r="769" spans="5:5">
      <c r="E769" s="8">
        <f>IF(A769="","",N(C769)-N(D769))</f>
        <v/>
      </c>
    </row>
    <row r="770" spans="5:5">
      <c r="E770" s="8">
        <f>IF(A770="","",N(C770)-N(D770))</f>
        <v/>
      </c>
    </row>
    <row r="771" spans="5:5">
      <c r="E771" s="8">
        <f>IF(A771="","",N(C771)-N(D771))</f>
        <v/>
      </c>
    </row>
    <row r="772" spans="5:5">
      <c r="E772" s="8">
        <f>IF(A772="","",N(C772)-N(D772))</f>
        <v/>
      </c>
    </row>
    <row r="773" spans="5:5">
      <c r="E773" s="8">
        <f>IF(A773="","",N(C773)-N(D773))</f>
        <v/>
      </c>
    </row>
    <row r="774" spans="5:5">
      <c r="E774" s="8">
        <f>IF(A774="","",N(C774)-N(D774))</f>
        <v/>
      </c>
    </row>
    <row r="775" spans="5:5">
      <c r="E775" s="8">
        <f>IF(A775="","",N(C775)-N(D775))</f>
        <v/>
      </c>
    </row>
    <row r="776" spans="5:5">
      <c r="E776" s="8">
        <f>IF(A776="","",N(C776)-N(D776))</f>
        <v/>
      </c>
    </row>
    <row r="777" spans="5:5">
      <c r="E777" s="8">
        <f>IF(A777="","",N(C777)-N(D777))</f>
        <v/>
      </c>
    </row>
    <row r="778" spans="5:5">
      <c r="E778" s="8">
        <f>IF(A778="","",N(C778)-N(D778))</f>
        <v/>
      </c>
    </row>
    <row r="779" spans="5:5">
      <c r="E779" s="8">
        <f>IF(A779="","",N(C779)-N(D779))</f>
        <v/>
      </c>
    </row>
    <row r="780" spans="5:5">
      <c r="E780" s="8">
        <f>IF(A780="","",N(C780)-N(D780))</f>
        <v/>
      </c>
    </row>
    <row r="781" spans="5:5">
      <c r="E781" s="8">
        <f>IF(A781="","",N(C781)-N(D781))</f>
        <v/>
      </c>
    </row>
    <row r="782" spans="5:5">
      <c r="E782" s="8">
        <f>IF(A782="","",N(C782)-N(D782))</f>
        <v/>
      </c>
    </row>
    <row r="783" spans="5:5">
      <c r="E783" s="8">
        <f>IF(A783="","",N(C783)-N(D783))</f>
        <v/>
      </c>
    </row>
    <row r="784" spans="5:5">
      <c r="E784" s="8">
        <f>IF(A784="","",N(C784)-N(D784))</f>
        <v/>
      </c>
    </row>
    <row r="785" spans="5:5">
      <c r="E785" s="8">
        <f>IF(A785="","",N(C785)-N(D785))</f>
        <v/>
      </c>
    </row>
    <row r="786" spans="5:5">
      <c r="E786" s="8">
        <f>IF(A786="","",N(C786)-N(D786))</f>
        <v/>
      </c>
    </row>
    <row r="787" spans="5:5">
      <c r="E787" s="8">
        <f>IF(A787="","",N(C787)-N(D787))</f>
        <v/>
      </c>
    </row>
    <row r="788" spans="5:5">
      <c r="E788" s="8">
        <f>IF(A788="","",N(C788)-N(D788))</f>
        <v/>
      </c>
    </row>
    <row r="789" spans="5:5">
      <c r="E789" s="8">
        <f>IF(A789="","",N(C789)-N(D789))</f>
        <v/>
      </c>
    </row>
    <row r="790" spans="5:5">
      <c r="E790" s="8">
        <f>IF(A790="","",N(C790)-N(D790))</f>
        <v/>
      </c>
    </row>
    <row r="791" spans="5:5">
      <c r="E791" s="8">
        <f>IF(A791="","",N(C791)-N(D791))</f>
        <v/>
      </c>
    </row>
    <row r="792" spans="5:5">
      <c r="E792" s="8">
        <f>IF(A792="","",N(C792)-N(D792))</f>
        <v/>
      </c>
    </row>
    <row r="793" spans="5:5">
      <c r="E793" s="8">
        <f>IF(A793="","",N(C793)-N(D793))</f>
        <v/>
      </c>
    </row>
    <row r="794" spans="5:5">
      <c r="E794" s="8">
        <f>IF(A794="","",N(C794)-N(D794))</f>
        <v/>
      </c>
    </row>
    <row r="795" spans="5:5">
      <c r="E795" s="8">
        <f>IF(A795="","",N(C795)-N(D795))</f>
        <v/>
      </c>
    </row>
    <row r="796" spans="5:5">
      <c r="E796" s="8">
        <f>IF(A796="","",N(C796)-N(D796))</f>
        <v/>
      </c>
    </row>
    <row r="797" spans="5:5">
      <c r="E797" s="8">
        <f>IF(A797="","",N(C797)-N(D797))</f>
        <v/>
      </c>
    </row>
    <row r="798" spans="5:5">
      <c r="E798" s="8">
        <f>IF(A798="","",N(C798)-N(D798))</f>
        <v/>
      </c>
    </row>
    <row r="799" spans="5:5">
      <c r="E799" s="8">
        <f>IF(A799="","",N(C799)-N(D799))</f>
        <v/>
      </c>
    </row>
    <row r="800" spans="5:5">
      <c r="E800" s="8">
        <f>IF(A800="","",N(C800)-N(D800))</f>
        <v/>
      </c>
    </row>
    <row r="801" spans="5:5">
      <c r="E801" s="8">
        <f>IF(A801="","",N(C801)-N(D801))</f>
        <v/>
      </c>
    </row>
    <row r="802" spans="5:5">
      <c r="E802" s="8">
        <f>IF(A802="","",N(C802)-N(D802))</f>
        <v/>
      </c>
    </row>
    <row r="803" spans="5:5">
      <c r="E803" s="8">
        <f>IF(A803="","",N(C803)-N(D803))</f>
        <v/>
      </c>
    </row>
    <row r="804" spans="5:5">
      <c r="E804" s="8">
        <f>IF(A804="","",N(C804)-N(D804))</f>
        <v/>
      </c>
    </row>
    <row r="805" spans="5:5">
      <c r="E805" s="8">
        <f>IF(A805="","",N(C805)-N(D805))</f>
        <v/>
      </c>
    </row>
    <row r="806" spans="5:5">
      <c r="E806" s="8">
        <f>IF(A806="","",N(C806)-N(D806))</f>
        <v/>
      </c>
    </row>
    <row r="807" spans="5:5">
      <c r="E807" s="8">
        <f>IF(A807="","",N(C807)-N(D807))</f>
        <v/>
      </c>
    </row>
    <row r="808" spans="5:5">
      <c r="E808" s="8">
        <f>IF(A808="","",N(C808)-N(D808))</f>
        <v/>
      </c>
    </row>
    <row r="809" spans="5:5">
      <c r="E809" s="8">
        <f>IF(A809="","",N(C809)-N(D809))</f>
        <v/>
      </c>
    </row>
    <row r="810" spans="5:5">
      <c r="E810" s="8">
        <f>IF(A810="","",N(C810)-N(D810))</f>
        <v/>
      </c>
    </row>
    <row r="811" spans="5:5">
      <c r="E811" s="8">
        <f>IF(A811="","",N(C811)-N(D811))</f>
        <v/>
      </c>
    </row>
    <row r="812" spans="5:5">
      <c r="E812" s="8">
        <f>IF(A812="","",N(C812)-N(D812))</f>
        <v/>
      </c>
    </row>
    <row r="813" spans="5:5">
      <c r="E813" s="8">
        <f>IF(A813="","",N(C813)-N(D813))</f>
        <v/>
      </c>
    </row>
    <row r="814" spans="5:5">
      <c r="E814" s="8">
        <f>IF(A814="","",N(C814)-N(D814))</f>
        <v/>
      </c>
    </row>
    <row r="815" spans="5:5">
      <c r="E815" s="8">
        <f>IF(A815="","",N(C815)-N(D815))</f>
        <v/>
      </c>
    </row>
    <row r="816" spans="5:5">
      <c r="E816" s="8">
        <f>IF(A816="","",N(C816)-N(D816))</f>
        <v/>
      </c>
    </row>
    <row r="817" spans="5:5">
      <c r="E817" s="8">
        <f>IF(A817="","",N(C817)-N(D817))</f>
        <v/>
      </c>
    </row>
    <row r="818" spans="5:5">
      <c r="E818" s="8">
        <f>IF(A818="","",N(C818)-N(D818))</f>
        <v/>
      </c>
    </row>
    <row r="819" spans="5:5">
      <c r="E819" s="8">
        <f>IF(A819="","",N(C819)-N(D819))</f>
        <v/>
      </c>
    </row>
    <row r="820" spans="5:5">
      <c r="E820" s="8">
        <f>IF(A820="","",N(C820)-N(D820))</f>
        <v/>
      </c>
    </row>
    <row r="821" spans="5:5">
      <c r="E821" s="8">
        <f>IF(A821="","",N(C821)-N(D821))</f>
        <v/>
      </c>
    </row>
    <row r="822" spans="5:5">
      <c r="E822" s="8">
        <f>IF(A822="","",N(C822)-N(D822))</f>
        <v/>
      </c>
    </row>
    <row r="823" spans="5:5">
      <c r="E823" s="8">
        <f>IF(A823="","",N(C823)-N(D823))</f>
        <v/>
      </c>
    </row>
    <row r="824" spans="5:5">
      <c r="E824" s="8">
        <f>IF(A824="","",N(C824)-N(D824))</f>
        <v/>
      </c>
    </row>
    <row r="825" spans="5:5">
      <c r="E825" s="8">
        <f>IF(A825="","",N(C825)-N(D825))</f>
        <v/>
      </c>
    </row>
    <row r="826" spans="5:5">
      <c r="E826" s="8">
        <f>IF(A826="","",N(C826)-N(D826))</f>
        <v/>
      </c>
    </row>
    <row r="827" spans="5:5">
      <c r="E827" s="8">
        <f>IF(A827="","",N(C827)-N(D827))</f>
        <v/>
      </c>
    </row>
    <row r="828" spans="5:5">
      <c r="E828" s="8">
        <f>IF(A828="","",N(C828)-N(D828))</f>
        <v/>
      </c>
    </row>
    <row r="829" spans="5:5">
      <c r="E829" s="8">
        <f>IF(A829="","",N(C829)-N(D829))</f>
        <v/>
      </c>
    </row>
    <row r="830" spans="5:5">
      <c r="E830" s="8">
        <f>IF(A830="","",N(C830)-N(D830))</f>
        <v/>
      </c>
    </row>
    <row r="831" spans="5:5">
      <c r="E831" s="8">
        <f>IF(A831="","",N(C831)-N(D831))</f>
        <v/>
      </c>
    </row>
    <row r="832" spans="5:5">
      <c r="E832" s="8">
        <f>IF(A832="","",N(C832)-N(D832))</f>
        <v/>
      </c>
    </row>
    <row r="833" spans="5:5">
      <c r="E833" s="8">
        <f>IF(A833="","",N(C833)-N(D833))</f>
        <v/>
      </c>
    </row>
    <row r="834" spans="5:5">
      <c r="E834" s="8">
        <f>IF(A834="","",N(C834)-N(D834))</f>
        <v/>
      </c>
    </row>
    <row r="835" spans="5:5">
      <c r="E835" s="8">
        <f>IF(A835="","",N(C835)-N(D835))</f>
        <v/>
      </c>
    </row>
    <row r="836" spans="5:5">
      <c r="E836" s="8">
        <f>IF(A836="","",N(C836)-N(D836))</f>
        <v/>
      </c>
    </row>
    <row r="837" spans="5:5">
      <c r="E837" s="8">
        <f>IF(A837="","",N(C837)-N(D837))</f>
        <v/>
      </c>
    </row>
    <row r="838" spans="5:5">
      <c r="E838" s="8">
        <f>IF(A838="","",N(C838)-N(D838))</f>
        <v/>
      </c>
    </row>
    <row r="839" spans="5:5">
      <c r="E839" s="8">
        <f>IF(A839="","",N(C839)-N(D839))</f>
        <v/>
      </c>
    </row>
    <row r="840" spans="5:5">
      <c r="E840" s="8">
        <f>IF(A840="","",N(C840)-N(D840))</f>
        <v/>
      </c>
    </row>
    <row r="841" spans="5:5">
      <c r="E841" s="8">
        <f>IF(A841="","",N(C841)-N(D841))</f>
        <v/>
      </c>
    </row>
    <row r="842" spans="5:5">
      <c r="E842" s="8">
        <f>IF(A842="","",N(C842)-N(D842))</f>
        <v/>
      </c>
    </row>
    <row r="843" spans="5:5">
      <c r="E843" s="8">
        <f>IF(A843="","",N(C843)-N(D843))</f>
        <v/>
      </c>
    </row>
    <row r="844" spans="5:5">
      <c r="E844" s="8">
        <f>IF(A844="","",N(C844)-N(D844))</f>
        <v/>
      </c>
    </row>
    <row r="845" spans="5:5">
      <c r="E845" s="8">
        <f>IF(A845="","",N(C845)-N(D845))</f>
        <v/>
      </c>
    </row>
    <row r="846" spans="5:5">
      <c r="E846" s="8">
        <f>IF(A846="","",N(C846)-N(D846))</f>
        <v/>
      </c>
    </row>
    <row r="847" spans="5:5">
      <c r="E847" s="8">
        <f>IF(A847="","",N(C847)-N(D847))</f>
        <v/>
      </c>
    </row>
    <row r="848" spans="5:5">
      <c r="E848" s="8">
        <f>IF(A848="","",N(C848)-N(D848))</f>
        <v/>
      </c>
    </row>
    <row r="849" spans="5:5">
      <c r="E849" s="8">
        <f>IF(A849="","",N(C849)-N(D849))</f>
        <v/>
      </c>
    </row>
    <row r="850" spans="5:5">
      <c r="E850" s="8">
        <f>IF(A850="","",N(C850)-N(D850))</f>
        <v/>
      </c>
    </row>
    <row r="851" spans="5:5">
      <c r="E851" s="8">
        <f>IF(A851="","",N(C851)-N(D851))</f>
        <v/>
      </c>
    </row>
    <row r="852" spans="5:5">
      <c r="E852" s="8">
        <f>IF(A852="","",N(C852)-N(D852))</f>
        <v/>
      </c>
    </row>
    <row r="853" spans="5:5">
      <c r="E853" s="8">
        <f>IF(A853="","",N(C853)-N(D853))</f>
        <v/>
      </c>
    </row>
    <row r="854" spans="5:5">
      <c r="E854" s="8">
        <f>IF(A854="","",N(C854)-N(D854))</f>
        <v/>
      </c>
    </row>
    <row r="855" spans="5:5">
      <c r="E855" s="8">
        <f>IF(A855="","",N(C855)-N(D855))</f>
        <v/>
      </c>
    </row>
    <row r="856" spans="5:5">
      <c r="E856" s="8">
        <f>IF(A856="","",N(C856)-N(D856))</f>
        <v/>
      </c>
    </row>
    <row r="857" spans="5:5">
      <c r="E857" s="8">
        <f>IF(A857="","",N(C857)-N(D857))</f>
        <v/>
      </c>
    </row>
    <row r="858" spans="5:5">
      <c r="E858" s="8">
        <f>IF(A858="","",N(C858)-N(D858))</f>
        <v/>
      </c>
    </row>
    <row r="859" spans="5:5">
      <c r="E859" s="8">
        <f>IF(A859="","",N(C859)-N(D859))</f>
        <v/>
      </c>
    </row>
    <row r="860" spans="5:5">
      <c r="E860" s="8">
        <f>IF(A860="","",N(C860)-N(D860))</f>
        <v/>
      </c>
    </row>
    <row r="861" spans="5:5">
      <c r="E861" s="8">
        <f>IF(A861="","",N(C861)-N(D861))</f>
        <v/>
      </c>
    </row>
    <row r="862" spans="5:5">
      <c r="E862" s="8">
        <f>IF(A862="","",N(C862)-N(D862))</f>
        <v/>
      </c>
    </row>
    <row r="863" spans="5:5">
      <c r="E863" s="8">
        <f>IF(A863="","",N(C863)-N(D863))</f>
        <v/>
      </c>
    </row>
    <row r="864" spans="5:5">
      <c r="E864" s="8">
        <f>IF(A864="","",N(C864)-N(D864))</f>
        <v/>
      </c>
    </row>
    <row r="865" spans="5:5">
      <c r="E865" s="8">
        <f>IF(A865="","",N(C865)-N(D865))</f>
        <v/>
      </c>
    </row>
    <row r="866" spans="5:5">
      <c r="E866" s="8">
        <f>IF(A866="","",N(C866)-N(D866))</f>
        <v/>
      </c>
    </row>
    <row r="867" spans="5:5">
      <c r="E867" s="8">
        <f>IF(A867="","",N(C867)-N(D867))</f>
        <v/>
      </c>
    </row>
    <row r="868" spans="5:5">
      <c r="E868" s="8">
        <f>IF(A868="","",N(C868)-N(D868))</f>
        <v/>
      </c>
    </row>
    <row r="869" spans="5:5">
      <c r="E869" s="8">
        <f>IF(A869="","",N(C869)-N(D869))</f>
        <v/>
      </c>
    </row>
    <row r="870" spans="5:5">
      <c r="E870" s="8">
        <f>IF(A870="","",N(C870)-N(D870))</f>
        <v/>
      </c>
    </row>
    <row r="871" spans="5:5">
      <c r="E871" s="8">
        <f>IF(A871="","",N(C871)-N(D871))</f>
        <v/>
      </c>
    </row>
    <row r="872" spans="5:5">
      <c r="E872" s="8">
        <f>IF(A872="","",N(C872)-N(D872))</f>
        <v/>
      </c>
    </row>
    <row r="873" spans="5:5">
      <c r="E873" s="8">
        <f>IF(A873="","",N(C873)-N(D873))</f>
        <v/>
      </c>
    </row>
    <row r="874" spans="5:5">
      <c r="E874" s="8">
        <f>IF(A874="","",N(C874)-N(D874))</f>
        <v/>
      </c>
    </row>
    <row r="875" spans="5:5">
      <c r="E875" s="8">
        <f>IF(A875="","",N(C875)-N(D875))</f>
        <v/>
      </c>
    </row>
    <row r="876" spans="5:5">
      <c r="E876" s="8">
        <f>IF(A876="","",N(C876)-N(D876))</f>
        <v/>
      </c>
    </row>
    <row r="877" spans="5:5">
      <c r="E877" s="8">
        <f>IF(A877="","",N(C877)-N(D877))</f>
        <v/>
      </c>
    </row>
    <row r="878" spans="5:5">
      <c r="E878" s="8">
        <f>IF(A878="","",N(C878)-N(D878))</f>
        <v/>
      </c>
    </row>
    <row r="879" spans="5:5">
      <c r="E879" s="8">
        <f>IF(A879="","",N(C879)-N(D879))</f>
        <v/>
      </c>
    </row>
    <row r="880" spans="5:5">
      <c r="E880" s="8">
        <f>IF(A880="","",N(C880)-N(D880))</f>
        <v/>
      </c>
    </row>
    <row r="881" spans="5:5">
      <c r="E881" s="8">
        <f>IF(A881="","",N(C881)-N(D881))</f>
        <v/>
      </c>
    </row>
    <row r="882" spans="5:5">
      <c r="E882" s="8">
        <f>IF(A882="","",N(C882)-N(D882))</f>
        <v/>
      </c>
    </row>
    <row r="883" spans="5:5">
      <c r="E883" s="8">
        <f>IF(A883="","",N(C883)-N(D883))</f>
        <v/>
      </c>
    </row>
    <row r="884" spans="5:5">
      <c r="E884" s="8">
        <f>IF(A884="","",N(C884)-N(D884))</f>
        <v/>
      </c>
    </row>
    <row r="885" spans="5:5">
      <c r="E885" s="8">
        <f>IF(A885="","",N(C885)-N(D885))</f>
        <v/>
      </c>
    </row>
    <row r="886" spans="5:5">
      <c r="E886" s="8">
        <f>IF(A886="","",N(C886)-N(D886))</f>
        <v/>
      </c>
    </row>
    <row r="887" spans="5:5">
      <c r="E887" s="8">
        <f>IF(A887="","",N(C887)-N(D887))</f>
        <v/>
      </c>
    </row>
    <row r="888" spans="5:5">
      <c r="E888" s="8">
        <f>IF(A888="","",N(C888)-N(D888))</f>
        <v/>
      </c>
    </row>
    <row r="889" spans="5:5">
      <c r="E889" s="8">
        <f>IF(A889="","",N(C889)-N(D889))</f>
        <v/>
      </c>
    </row>
    <row r="890" spans="5:5">
      <c r="E890" s="8">
        <f>IF(A890="","",N(C890)-N(D890))</f>
        <v/>
      </c>
    </row>
    <row r="891" spans="5:5">
      <c r="E891" s="8">
        <f>IF(A891="","",N(C891)-N(D891))</f>
        <v/>
      </c>
    </row>
    <row r="892" spans="5:5">
      <c r="E892" s="8">
        <f>IF(A892="","",N(C892)-N(D892))</f>
        <v/>
      </c>
    </row>
    <row r="893" spans="5:5">
      <c r="E893" s="8">
        <f>IF(A893="","",N(C893)-N(D893))</f>
        <v/>
      </c>
    </row>
    <row r="894" spans="5:5">
      <c r="E894" s="8">
        <f>IF(A894="","",N(C894)-N(D894))</f>
        <v/>
      </c>
    </row>
    <row r="895" spans="5:5">
      <c r="E895" s="8">
        <f>IF(A895="","",N(C895)-N(D895))</f>
        <v/>
      </c>
    </row>
    <row r="896" spans="5:5">
      <c r="E896" s="8">
        <f>IF(A896="","",N(C896)-N(D896))</f>
        <v/>
      </c>
    </row>
    <row r="897" spans="5:5">
      <c r="E897" s="8">
        <f>IF(A897="","",N(C897)-N(D897))</f>
        <v/>
      </c>
    </row>
    <row r="898" spans="5:5">
      <c r="E898" s="8">
        <f>IF(A898="","",N(C898)-N(D898))</f>
        <v/>
      </c>
    </row>
    <row r="899" spans="5:5">
      <c r="E899" s="8">
        <f>IF(A899="","",N(C899)-N(D899))</f>
        <v/>
      </c>
    </row>
    <row r="900" spans="5:5">
      <c r="E900" s="8">
        <f>IF(A900="","",N(C900)-N(D900))</f>
        <v/>
      </c>
    </row>
    <row r="901" spans="5:5">
      <c r="E901" s="8">
        <f>IF(A901="","",N(C901)-N(D901))</f>
        <v/>
      </c>
    </row>
    <row r="902" spans="5:5">
      <c r="E902" s="8">
        <f>IF(A902="","",N(C902)-N(D902))</f>
        <v/>
      </c>
    </row>
    <row r="903" spans="5:5">
      <c r="E903" s="8">
        <f>IF(A903="","",N(C903)-N(D903))</f>
        <v/>
      </c>
    </row>
    <row r="904" spans="5:5">
      <c r="E904" s="8">
        <f>IF(A904="","",N(C904)-N(D904))</f>
        <v/>
      </c>
    </row>
    <row r="905" spans="5:5">
      <c r="E905" s="8">
        <f>IF(A905="","",N(C905)-N(D905))</f>
        <v/>
      </c>
    </row>
    <row r="906" spans="5:5">
      <c r="E906" s="8">
        <f>IF(A906="","",N(C906)-N(D906))</f>
        <v/>
      </c>
    </row>
    <row r="907" spans="5:5">
      <c r="E907" s="8">
        <f>IF(A907="","",N(C907)-N(D907))</f>
        <v/>
      </c>
    </row>
    <row r="908" spans="5:5">
      <c r="E908" s="8">
        <f>IF(A908="","",N(C908)-N(D908))</f>
        <v/>
      </c>
    </row>
    <row r="909" spans="5:5">
      <c r="E909" s="8">
        <f>IF(A909="","",N(C909)-N(D909))</f>
        <v/>
      </c>
    </row>
    <row r="910" spans="5:5">
      <c r="E910" s="8">
        <f>IF(A910="","",N(C910)-N(D910))</f>
        <v/>
      </c>
    </row>
    <row r="911" spans="5:5">
      <c r="E911" s="8">
        <f>IF(A911="","",N(C911)-N(D911))</f>
        <v/>
      </c>
    </row>
    <row r="912" spans="5:5">
      <c r="E912" s="8">
        <f>IF(A912="","",N(C912)-N(D912))</f>
        <v/>
      </c>
    </row>
    <row r="913" spans="5:5">
      <c r="E913" s="8">
        <f>IF(A913="","",N(C913)-N(D913))</f>
        <v/>
      </c>
    </row>
    <row r="914" spans="5:5">
      <c r="E914" s="8">
        <f>IF(A914="","",N(C914)-N(D914))</f>
        <v/>
      </c>
    </row>
    <row r="915" spans="5:5">
      <c r="E915" s="8">
        <f>IF(A915="","",N(C915)-N(D915))</f>
        <v/>
      </c>
    </row>
    <row r="916" spans="5:5">
      <c r="E916" s="8">
        <f>IF(A916="","",N(C916)-N(D916))</f>
        <v/>
      </c>
    </row>
    <row r="917" spans="5:5">
      <c r="E917" s="8">
        <f>IF(A917="","",N(C917)-N(D917))</f>
        <v/>
      </c>
    </row>
    <row r="918" spans="5:5">
      <c r="E918" s="8">
        <f>IF(A918="","",N(C918)-N(D918))</f>
        <v/>
      </c>
    </row>
    <row r="919" spans="5:5">
      <c r="E919" s="8">
        <f>IF(A919="","",N(C919)-N(D919))</f>
        <v/>
      </c>
    </row>
    <row r="920" spans="5:5">
      <c r="E920" s="8">
        <f>IF(A920="","",N(C920)-N(D920))</f>
        <v/>
      </c>
    </row>
    <row r="921" spans="5:5">
      <c r="E921" s="8">
        <f>IF(A921="","",N(C921)-N(D921))</f>
        <v/>
      </c>
    </row>
    <row r="922" spans="5:5">
      <c r="E922" s="8">
        <f>IF(A922="","",N(C922)-N(D922))</f>
        <v/>
      </c>
    </row>
    <row r="923" spans="5:5">
      <c r="E923" s="8">
        <f>IF(A923="","",N(C923)-N(D923))</f>
        <v/>
      </c>
    </row>
    <row r="924" spans="5:5">
      <c r="E924" s="8">
        <f>IF(A924="","",N(C924)-N(D924))</f>
        <v/>
      </c>
    </row>
    <row r="925" spans="5:5">
      <c r="E925" s="8">
        <f>IF(A925="","",N(C925)-N(D925))</f>
        <v/>
      </c>
    </row>
    <row r="926" spans="5:5">
      <c r="E926" s="8">
        <f>IF(A926="","",N(C926)-N(D926))</f>
        <v/>
      </c>
    </row>
    <row r="927" spans="5:5">
      <c r="E927" s="8">
        <f>IF(A927="","",N(C927)-N(D927))</f>
        <v/>
      </c>
    </row>
    <row r="928" spans="5:5">
      <c r="E928" s="8">
        <f>IF(A928="","",N(C928)-N(D928))</f>
        <v/>
      </c>
    </row>
    <row r="929" spans="5:5">
      <c r="E929" s="8">
        <f>IF(A929="","",N(C929)-N(D929))</f>
        <v/>
      </c>
    </row>
    <row r="930" spans="5:5">
      <c r="E930" s="8">
        <f>IF(A930="","",N(C930)-N(D930))</f>
        <v/>
      </c>
    </row>
    <row r="931" spans="5:5">
      <c r="E931" s="8">
        <f>IF(A931="","",N(C931)-N(D931))</f>
        <v/>
      </c>
    </row>
    <row r="932" spans="5:5">
      <c r="E932" s="8">
        <f>IF(A932="","",N(C932)-N(D932))</f>
        <v/>
      </c>
    </row>
    <row r="933" spans="5:5">
      <c r="E933" s="8">
        <f>IF(A933="","",N(C933)-N(D933))</f>
        <v/>
      </c>
    </row>
    <row r="934" spans="5:5">
      <c r="E934" s="8">
        <f>IF(A934="","",N(C934)-N(D934))</f>
        <v/>
      </c>
    </row>
    <row r="935" spans="5:5">
      <c r="E935" s="8">
        <f>IF(A935="","",N(C935)-N(D935))</f>
        <v/>
      </c>
    </row>
    <row r="936" spans="5:5">
      <c r="E936" s="8">
        <f>IF(A936="","",N(C936)-N(D936))</f>
        <v/>
      </c>
    </row>
    <row r="937" spans="5:5">
      <c r="E937" s="8">
        <f>IF(A937="","",N(C937)-N(D937))</f>
        <v/>
      </c>
    </row>
    <row r="938" spans="5:5">
      <c r="E938" s="8">
        <f>IF(A938="","",N(C938)-N(D938))</f>
        <v/>
      </c>
    </row>
    <row r="939" spans="5:5">
      <c r="E939" s="8">
        <f>IF(A939="","",N(C939)-N(D939))</f>
        <v/>
      </c>
    </row>
    <row r="940" spans="5:5">
      <c r="E940" s="8">
        <f>IF(A940="","",N(C940)-N(D940))</f>
        <v/>
      </c>
    </row>
    <row r="941" spans="5:5">
      <c r="E941" s="8">
        <f>IF(A941="","",N(C941)-N(D941))</f>
        <v/>
      </c>
    </row>
    <row r="942" spans="5:5">
      <c r="E942" s="8">
        <f>IF(A942="","",N(C942)-N(D942))</f>
        <v/>
      </c>
    </row>
    <row r="943" spans="5:5">
      <c r="E943" s="8">
        <f>IF(A943="","",N(C943)-N(D943))</f>
        <v/>
      </c>
    </row>
    <row r="944" spans="5:5">
      <c r="E944" s="8">
        <f>IF(A944="","",N(C944)-N(D944))</f>
        <v/>
      </c>
    </row>
    <row r="945" spans="5:5">
      <c r="E945" s="8">
        <f>IF(A945="","",N(C945)-N(D945))</f>
        <v/>
      </c>
    </row>
    <row r="946" spans="5:5">
      <c r="E946" s="8">
        <f>IF(A946="","",N(C946)-N(D946))</f>
        <v/>
      </c>
    </row>
    <row r="947" spans="5:5">
      <c r="E947" s="8">
        <f>IF(A947="","",N(C947)-N(D947))</f>
        <v/>
      </c>
    </row>
    <row r="948" spans="5:5">
      <c r="E948" s="8">
        <f>IF(A948="","",N(C948)-N(D948))</f>
        <v/>
      </c>
    </row>
    <row r="949" spans="5:5">
      <c r="E949" s="8">
        <f>IF(A949="","",N(C949)-N(D949))</f>
        <v/>
      </c>
    </row>
    <row r="950" spans="5:5">
      <c r="E950" s="8">
        <f>IF(A950="","",N(C950)-N(D950))</f>
        <v/>
      </c>
    </row>
    <row r="951" spans="5:5">
      <c r="E951" s="8">
        <f>IF(A951="","",N(C951)-N(D951))</f>
        <v/>
      </c>
    </row>
    <row r="952" spans="5:5">
      <c r="E952" s="8">
        <f>IF(A952="","",N(C952)-N(D952))</f>
        <v/>
      </c>
    </row>
    <row r="953" spans="5:5">
      <c r="E953" s="8">
        <f>IF(A953="","",N(C953)-N(D953))</f>
        <v/>
      </c>
    </row>
    <row r="954" spans="5:5">
      <c r="E954" s="8">
        <f>IF(A954="","",N(C954)-N(D954))</f>
        <v/>
      </c>
    </row>
    <row r="955" spans="5:5">
      <c r="E955" s="8">
        <f>IF(A955="","",N(C955)-N(D955))</f>
        <v/>
      </c>
    </row>
    <row r="956" spans="5:5">
      <c r="E956" s="8">
        <f>IF(A956="","",N(C956)-N(D956))</f>
        <v/>
      </c>
    </row>
    <row r="957" spans="5:5">
      <c r="E957" s="8">
        <f>IF(A957="","",N(C957)-N(D957))</f>
        <v/>
      </c>
    </row>
    <row r="958" spans="5:5">
      <c r="E958" s="8">
        <f>IF(A958="","",N(C958)-N(D958))</f>
        <v/>
      </c>
    </row>
    <row r="959" spans="5:5">
      <c r="E959" s="8">
        <f>IF(A959="","",N(C959)-N(D959))</f>
        <v/>
      </c>
    </row>
    <row r="960" spans="5:5">
      <c r="E960" s="8">
        <f>IF(A960="","",N(C960)-N(D960))</f>
        <v/>
      </c>
    </row>
    <row r="961" spans="5:5">
      <c r="E961" s="8">
        <f>IF(A961="","",N(C961)-N(D961))</f>
        <v/>
      </c>
    </row>
    <row r="962" spans="5:5">
      <c r="E962" s="8">
        <f>IF(A962="","",N(C962)-N(D962))</f>
        <v/>
      </c>
    </row>
    <row r="963" spans="5:5">
      <c r="E963" s="8">
        <f>IF(A963="","",N(C963)-N(D963))</f>
        <v/>
      </c>
    </row>
    <row r="964" spans="5:5">
      <c r="E964" s="8">
        <f>IF(A964="","",N(C964)-N(D964))</f>
        <v/>
      </c>
    </row>
    <row r="965" spans="5:5">
      <c r="E965" s="8">
        <f>IF(A965="","",N(C965)-N(D965))</f>
        <v/>
      </c>
    </row>
    <row r="966" spans="5:5">
      <c r="E966" s="8">
        <f>IF(A966="","",N(C966)-N(D966))</f>
        <v/>
      </c>
    </row>
    <row r="967" spans="5:5">
      <c r="E967" s="8">
        <f>IF(A967="","",N(C967)-N(D967))</f>
        <v/>
      </c>
    </row>
    <row r="968" spans="5:5">
      <c r="E968" s="8">
        <f>IF(A968="","",N(C968)-N(D968))</f>
        <v/>
      </c>
    </row>
    <row r="969" spans="5:5">
      <c r="E969" s="8">
        <f>IF(A969="","",N(C969)-N(D969))</f>
        <v/>
      </c>
    </row>
    <row r="970" spans="5:5">
      <c r="E970" s="8">
        <f>IF(A970="","",N(C970)-N(D970))</f>
        <v/>
      </c>
    </row>
    <row r="971" spans="5:5">
      <c r="E971" s="8">
        <f>IF(A971="","",N(C971)-N(D971))</f>
        <v/>
      </c>
    </row>
    <row r="972" spans="5:5">
      <c r="E972" s="8">
        <f>IF(A972="","",N(C972)-N(D972))</f>
        <v/>
      </c>
    </row>
    <row r="973" spans="5:5">
      <c r="E973" s="8">
        <f>IF(A973="","",N(C973)-N(D973))</f>
        <v/>
      </c>
    </row>
    <row r="974" spans="5:5">
      <c r="E974" s="8">
        <f>IF(A974="","",N(C974)-N(D974))</f>
        <v/>
      </c>
    </row>
    <row r="975" spans="5:5">
      <c r="E975" s="8">
        <f>IF(A975="","",N(C975)-N(D975))</f>
        <v/>
      </c>
    </row>
    <row r="976" spans="5:5">
      <c r="E976" s="8">
        <f>IF(A976="","",N(C976)-N(D976))</f>
        <v/>
      </c>
    </row>
    <row r="977" spans="5:5">
      <c r="E977" s="8">
        <f>IF(A977="","",N(C977)-N(D977))</f>
        <v/>
      </c>
    </row>
    <row r="978" spans="5:5">
      <c r="E978" s="8">
        <f>IF(A978="","",N(C978)-N(D978))</f>
        <v/>
      </c>
    </row>
    <row r="979" spans="5:5">
      <c r="E979" s="8">
        <f>IF(A979="","",N(C979)-N(D979))</f>
        <v/>
      </c>
    </row>
    <row r="980" spans="5:5">
      <c r="E980" s="8">
        <f>IF(A980="","",N(C980)-N(D980))</f>
        <v/>
      </c>
    </row>
    <row r="981" spans="5:5">
      <c r="E981" s="8">
        <f>IF(A981="","",N(C981)-N(D981))</f>
        <v/>
      </c>
    </row>
    <row r="982" spans="5:5">
      <c r="E982" s="8">
        <f>IF(A982="","",N(C982)-N(D982))</f>
        <v/>
      </c>
    </row>
    <row r="983" spans="5:5">
      <c r="E983" s="8">
        <f>IF(A983="","",N(C983)-N(D983))</f>
        <v/>
      </c>
    </row>
    <row r="984" spans="5:5">
      <c r="E984" s="8">
        <f>IF(A984="","",N(C984)-N(D984))</f>
        <v/>
      </c>
    </row>
    <row r="985" spans="5:5">
      <c r="E985" s="8">
        <f>IF(A985="","",N(C985)-N(D985))</f>
        <v/>
      </c>
    </row>
    <row r="986" spans="5:5">
      <c r="E986" s="8">
        <f>IF(A986="","",N(C986)-N(D986))</f>
        <v/>
      </c>
    </row>
    <row r="987" spans="5:5">
      <c r="E987" s="8">
        <f>IF(A987="","",N(C987)-N(D987))</f>
        <v/>
      </c>
    </row>
    <row r="988" spans="5:5">
      <c r="E988" s="8">
        <f>IF(A988="","",N(C988)-N(D988))</f>
        <v/>
      </c>
    </row>
    <row r="989" spans="5:5">
      <c r="E989" s="8">
        <f>IF(A989="","",N(C989)-N(D989))</f>
        <v/>
      </c>
    </row>
    <row r="990" spans="5:5">
      <c r="E990" s="8">
        <f>IF(A990="","",N(C990)-N(D990))</f>
        <v/>
      </c>
    </row>
    <row r="991" spans="5:5">
      <c r="E991" s="8">
        <f>IF(A991="","",N(C991)-N(D991))</f>
        <v/>
      </c>
    </row>
    <row r="992" spans="5:5">
      <c r="E992" s="8">
        <f>IF(A992="","",N(C992)-N(D992))</f>
        <v/>
      </c>
    </row>
    <row r="993" spans="5:5">
      <c r="E993" s="8">
        <f>IF(A993="","",N(C993)-N(D993))</f>
        <v/>
      </c>
    </row>
    <row r="994" spans="5:5">
      <c r="E994" s="8">
        <f>IF(A994="","",N(C994)-N(D994))</f>
        <v/>
      </c>
    </row>
    <row r="995" spans="5:5">
      <c r="E995" s="8">
        <f>IF(A995="","",N(C995)-N(D995))</f>
        <v/>
      </c>
    </row>
    <row r="996" spans="5:5">
      <c r="E996" s="8">
        <f>IF(A996="","",N(C996)-N(D996))</f>
        <v/>
      </c>
    </row>
    <row r="997" spans="5:5">
      <c r="E997" s="8">
        <f>IF(A997="","",N(C997)-N(D997))</f>
        <v/>
      </c>
    </row>
    <row r="998" spans="5:5">
      <c r="E998" s="8">
        <f>IF(A998="","",N(C998)-N(D998))</f>
        <v/>
      </c>
    </row>
    <row r="999" spans="5:5">
      <c r="E999" s="8">
        <f>IF(A999="","",N(C999)-N(D999))</f>
        <v/>
      </c>
    </row>
    <row r="1000" spans="5:5">
      <c r="E1000" s="8">
        <f>IF(A1000="","",N(C1000)-N(D1000))</f>
        <v/>
      </c>
    </row>
    <row r="1001" spans="5:5">
      <c r="E1001" s="8">
        <f>IF(A1001="","",N(C1001)-N(D1001))</f>
        <v/>
      </c>
    </row>
    <row r="1002" spans="5:5">
      <c r="E1002" s="8">
        <f>IF(A1002="","",N(C1002)-N(D1002))</f>
        <v/>
      </c>
    </row>
    <row r="1003" spans="5:5">
      <c r="E1003" s="8">
        <f>IF(A1003="","",N(C1003)-N(D1003))</f>
        <v/>
      </c>
    </row>
    <row r="1004" spans="5:5">
      <c r="E1004" s="8">
        <f>IF(A1004="","",N(C1004)-N(D1004))</f>
        <v/>
      </c>
    </row>
    <row r="1005" spans="5:5">
      <c r="E1005" s="8">
        <f>IF(A1005="","",N(C1005)-N(D1005))</f>
        <v/>
      </c>
    </row>
    <row r="1006" spans="5:5">
      <c r="E1006" s="8">
        <f>IF(A1006="","",N(C1006)-N(D1006))</f>
        <v/>
      </c>
    </row>
    <row r="1007" spans="5:5">
      <c r="E1007" s="8">
        <f>IF(A1007="","",N(C1007)-N(D1007))</f>
        <v/>
      </c>
    </row>
    <row r="1008" spans="5:5">
      <c r="E1008" s="8">
        <f>IF(A1008="","",N(C1008)-N(D1008))</f>
        <v/>
      </c>
    </row>
    <row r="1009" spans="5:5">
      <c r="E1009" s="8">
        <f>IF(A1009="","",N(C1009)-N(D1009))</f>
        <v/>
      </c>
    </row>
    <row r="1010" spans="5:5">
      <c r="E1010" s="8">
        <f>IF(A1010="","",N(C1010)-N(D1010))</f>
        <v/>
      </c>
    </row>
    <row r="1011" spans="5:5">
      <c r="E1011" s="8">
        <f>IF(A1011="","",N(C1011)-N(D1011))</f>
        <v/>
      </c>
    </row>
    <row r="1012" spans="5:5">
      <c r="E1012" s="8">
        <f>IF(A1012="","",N(C1012)-N(D1012))</f>
        <v/>
      </c>
    </row>
    <row r="1013" spans="5:5">
      <c r="E1013" s="8">
        <f>IF(A1013="","",N(C1013)-N(D1013))</f>
        <v/>
      </c>
    </row>
    <row r="1014" spans="5:5">
      <c r="E1014" s="8">
        <f>IF(A1014="","",N(C1014)-N(D1014))</f>
        <v/>
      </c>
    </row>
    <row r="1015" spans="5:5">
      <c r="E1015" s="8">
        <f>IF(A1015="","",N(C1015)-N(D1015))</f>
        <v/>
      </c>
    </row>
    <row r="1016" spans="5:5">
      <c r="E1016" s="8">
        <f>IF(A1016="","",N(C1016)-N(D1016))</f>
        <v/>
      </c>
    </row>
    <row r="1017" spans="5:5">
      <c r="E1017" s="8">
        <f>IF(A1017="","",N(C1017)-N(D1017))</f>
        <v/>
      </c>
    </row>
    <row r="1018" spans="5:5">
      <c r="E1018" s="8">
        <f>IF(A1018="","",N(C1018)-N(D1018))</f>
        <v/>
      </c>
    </row>
    <row r="1019" spans="5:5">
      <c r="E1019" s="8">
        <f>IF(A1019="","",N(C1019)-N(D1019))</f>
        <v/>
      </c>
    </row>
    <row r="1020" spans="5:5">
      <c r="E1020" s="8">
        <f>IF(A1020="","",N(C1020)-N(D1020))</f>
        <v/>
      </c>
    </row>
    <row r="1021" spans="5:5">
      <c r="E1021" s="8">
        <f>IF(A1021="","",N(C1021)-N(D1021))</f>
        <v/>
      </c>
    </row>
    <row r="1022" spans="5:5">
      <c r="E1022" s="8">
        <f>IF(A1022="","",N(C1022)-N(D1022))</f>
        <v/>
      </c>
    </row>
    <row r="1023" spans="5:5">
      <c r="E1023" s="8">
        <f>IF(A1023="","",N(C1023)-N(D1023))</f>
        <v/>
      </c>
    </row>
    <row r="1024" spans="5:5">
      <c r="E1024" s="8">
        <f>IF(A1024="","",N(C1024)-N(D1024))</f>
        <v/>
      </c>
    </row>
    <row r="1025" spans="5:5">
      <c r="E1025" s="8">
        <f>IF(A1025="","",N(C1025)-N(D1025))</f>
        <v/>
      </c>
    </row>
    <row r="1026" spans="5:5">
      <c r="E1026" s="8">
        <f>IF(A1026="","",N(C1026)-N(D1026))</f>
        <v/>
      </c>
    </row>
    <row r="1027" spans="5:5">
      <c r="E1027" s="8">
        <f>IF(A1027="","",N(C1027)-N(D1027))</f>
        <v/>
      </c>
    </row>
    <row r="1028" spans="5:5">
      <c r="E1028" s="8">
        <f>IF(A1028="","",N(C1028)-N(D1028))</f>
        <v/>
      </c>
    </row>
    <row r="1029" spans="5:5">
      <c r="E1029" s="8">
        <f>IF(A1029="","",N(C1029)-N(D1029))</f>
        <v/>
      </c>
    </row>
    <row r="1030" spans="5:5">
      <c r="E1030" s="8">
        <f>IF(A1030="","",N(C1030)-N(D1030))</f>
        <v/>
      </c>
    </row>
    <row r="1031" spans="5:5">
      <c r="E1031" s="8">
        <f>IF(A1031="","",N(C1031)-N(D1031))</f>
        <v/>
      </c>
    </row>
    <row r="1032" spans="5:5">
      <c r="E1032" s="8">
        <f>IF(A1032="","",N(C1032)-N(D1032))</f>
        <v/>
      </c>
    </row>
    <row r="1033" spans="5:5">
      <c r="E1033" s="8">
        <f>IF(A1033="","",N(C1033)-N(D1033))</f>
        <v/>
      </c>
    </row>
    <row r="1034" spans="5:5">
      <c r="E1034" s="8">
        <f>IF(A1034="","",N(C1034)-N(D1034))</f>
        <v/>
      </c>
    </row>
    <row r="1035" spans="5:5">
      <c r="E1035" s="8">
        <f>IF(A1035="","",N(C1035)-N(D1035))</f>
        <v/>
      </c>
    </row>
    <row r="1036" spans="5:5">
      <c r="E1036" s="8">
        <f>IF(A1036="","",N(C1036)-N(D1036))</f>
        <v/>
      </c>
    </row>
    <row r="1037" spans="5:5">
      <c r="E1037" s="8">
        <f>IF(A1037="","",N(C1037)-N(D1037))</f>
        <v/>
      </c>
    </row>
    <row r="1038" spans="5:5">
      <c r="E1038" s="8">
        <f>IF(A1038="","",N(C1038)-N(D1038))</f>
        <v/>
      </c>
    </row>
    <row r="1039" spans="5:5">
      <c r="E1039" s="8">
        <f>IF(A1039="","",N(C1039)-N(D1039))</f>
        <v/>
      </c>
    </row>
    <row r="1040" spans="5:5">
      <c r="E1040" s="8">
        <f>IF(A1040="","",N(C1040)-N(D1040))</f>
        <v/>
      </c>
    </row>
    <row r="1041" spans="5:5">
      <c r="E1041" s="8">
        <f>IF(A1041="","",N(C1041)-N(D1041))</f>
        <v/>
      </c>
    </row>
    <row r="1042" spans="5:5">
      <c r="E1042" s="8">
        <f>IF(A1042="","",N(C1042)-N(D1042))</f>
        <v/>
      </c>
    </row>
    <row r="1043" spans="5:5">
      <c r="E1043" s="8">
        <f>IF(A1043="","",N(C1043)-N(D1043))</f>
        <v/>
      </c>
    </row>
    <row r="1044" spans="5:5">
      <c r="E1044" s="8">
        <f>IF(A1044="","",N(C1044)-N(D1044))</f>
        <v/>
      </c>
    </row>
    <row r="1045" spans="5:5">
      <c r="E1045" s="8">
        <f>IF(A1045="","",N(C1045)-N(D1045))</f>
        <v/>
      </c>
    </row>
    <row r="1046" spans="5:5">
      <c r="E1046" s="8">
        <f>IF(A1046="","",N(C1046)-N(D1046))</f>
        <v/>
      </c>
    </row>
    <row r="1047" spans="5:5">
      <c r="E1047" s="8">
        <f>IF(A1047="","",N(C1047)-N(D1047))</f>
        <v/>
      </c>
    </row>
    <row r="1048" spans="5:5">
      <c r="E1048" s="8">
        <f>IF(A1048="","",N(C1048)-N(D1048))</f>
        <v/>
      </c>
    </row>
    <row r="1049" spans="5:5">
      <c r="E1049" s="8">
        <f>IF(A1049="","",N(C1049)-N(D1049))</f>
        <v/>
      </c>
    </row>
    <row r="1050" spans="5:5">
      <c r="E1050" s="8">
        <f>IF(A1050="","",N(C1050)-N(D1050))</f>
        <v/>
      </c>
    </row>
    <row r="1051" spans="5:5">
      <c r="E1051" s="8">
        <f>IF(A1051="","",N(C1051)-N(D1051))</f>
        <v/>
      </c>
    </row>
    <row r="1052" spans="5:5">
      <c r="E1052" s="8">
        <f>IF(A1052="","",N(C1052)-N(D1052))</f>
        <v/>
      </c>
    </row>
    <row r="1053" spans="5:5">
      <c r="E1053" s="8">
        <f>IF(A1053="","",N(C1053)-N(D1053))</f>
        <v/>
      </c>
    </row>
    <row r="1054" spans="5:5">
      <c r="E1054" s="8">
        <f>IF(A1054="","",N(C1054)-N(D1054))</f>
        <v/>
      </c>
    </row>
    <row r="1055" spans="5:5">
      <c r="E1055" s="8">
        <f>IF(A1055="","",N(C1055)-N(D1055))</f>
        <v/>
      </c>
    </row>
    <row r="1056" spans="5:5">
      <c r="E1056" s="8">
        <f>IF(A1056="","",N(C1056)-N(D1056))</f>
        <v/>
      </c>
    </row>
    <row r="1057" spans="5:5">
      <c r="E1057" s="8">
        <f>IF(A1057="","",N(C1057)-N(D1057))</f>
        <v/>
      </c>
    </row>
    <row r="1058" spans="5:5">
      <c r="E1058" s="8">
        <f>IF(A1058="","",N(C1058)-N(D1058))</f>
        <v/>
      </c>
    </row>
    <row r="1059" spans="5:5">
      <c r="E1059" s="8">
        <f>IF(A1059="","",N(C1059)-N(D1059))</f>
        <v/>
      </c>
    </row>
    <row r="1060" spans="5:5">
      <c r="E1060" s="8">
        <f>IF(A1060="","",N(C1060)-N(D1060))</f>
        <v/>
      </c>
    </row>
    <row r="1061" spans="5:5">
      <c r="E1061" s="8">
        <f>IF(A1061="","",N(C1061)-N(D1061))</f>
        <v/>
      </c>
    </row>
    <row r="1062" spans="5:5">
      <c r="E1062" s="8">
        <f>IF(A1062="","",N(C1062)-N(D1062))</f>
        <v/>
      </c>
    </row>
    <row r="1063" spans="5:5">
      <c r="E1063" s="8">
        <f>IF(A1063="","",N(C1063)-N(D1063))</f>
        <v/>
      </c>
    </row>
    <row r="1064" spans="5:5">
      <c r="E1064" s="8">
        <f>IF(A1064="","",N(C1064)-N(D1064))</f>
        <v/>
      </c>
    </row>
    <row r="1065" spans="5:5">
      <c r="E1065" s="8">
        <f>IF(A1065="","",N(C1065)-N(D1065))</f>
        <v/>
      </c>
    </row>
    <row r="1066" spans="5:5">
      <c r="E1066" s="8">
        <f>IF(A1066="","",N(C1066)-N(D1066))</f>
        <v/>
      </c>
    </row>
    <row r="1067" spans="5:5">
      <c r="E1067" s="8">
        <f>IF(A1067="","",N(C1067)-N(D1067))</f>
        <v/>
      </c>
    </row>
    <row r="1068" spans="5:5">
      <c r="E1068" s="8">
        <f>IF(A1068="","",N(C1068)-N(D1068))</f>
        <v/>
      </c>
    </row>
    <row r="1069" spans="5:5">
      <c r="E1069" s="8">
        <f>IF(A1069="","",N(C1069)-N(D1069))</f>
        <v/>
      </c>
    </row>
    <row r="1070" spans="5:5">
      <c r="E1070" s="8">
        <f>IF(A1070="","",N(C1070)-N(D1070))</f>
        <v/>
      </c>
    </row>
    <row r="1071" spans="5:5">
      <c r="E1071" s="8">
        <f>IF(A1071="","",N(C1071)-N(D1071))</f>
        <v/>
      </c>
    </row>
    <row r="1072" spans="5:5">
      <c r="E1072" s="8">
        <f>IF(A1072="","",N(C1072)-N(D1072))</f>
        <v/>
      </c>
    </row>
    <row r="1073" spans="5:5">
      <c r="E1073" s="8">
        <f>IF(A1073="","",N(C1073)-N(D1073))</f>
        <v/>
      </c>
    </row>
    <row r="1074" spans="5:5">
      <c r="E1074" s="8">
        <f>IF(A1074="","",N(C1074)-N(D1074))</f>
        <v/>
      </c>
    </row>
    <row r="1075" spans="5:5">
      <c r="E1075" s="8">
        <f>IF(A1075="","",N(C1075)-N(D1075))</f>
        <v/>
      </c>
    </row>
    <row r="1076" spans="5:5">
      <c r="E1076" s="8">
        <f>IF(A1076="","",N(C1076)-N(D1076))</f>
        <v/>
      </c>
    </row>
    <row r="1077" spans="5:5">
      <c r="E1077" s="8">
        <f>IF(A1077="","",N(C1077)-N(D1077))</f>
        <v/>
      </c>
    </row>
    <row r="1078" spans="5:5">
      <c r="E1078" s="8">
        <f>IF(A1078="","",N(C1078)-N(D1078))</f>
        <v/>
      </c>
    </row>
    <row r="1079" spans="5:5">
      <c r="E1079" s="8">
        <f>IF(A1079="","",N(C1079)-N(D1079))</f>
        <v/>
      </c>
    </row>
    <row r="1080" spans="5:5">
      <c r="E1080" s="8">
        <f>IF(A1080="","",N(C1080)-N(D1080))</f>
        <v/>
      </c>
    </row>
    <row r="1081" spans="5:5">
      <c r="E1081" s="8">
        <f>IF(A1081="","",N(C1081)-N(D1081))</f>
        <v/>
      </c>
    </row>
    <row r="1082" spans="5:5">
      <c r="E1082" s="8">
        <f>IF(A1082="","",N(C1082)-N(D1082))</f>
        <v/>
      </c>
    </row>
    <row r="1083" spans="5:5">
      <c r="E1083" s="8">
        <f>IF(A1083="","",N(C1083)-N(D1083))</f>
        <v/>
      </c>
    </row>
    <row r="1084" spans="5:5">
      <c r="E1084" s="8">
        <f>IF(A1084="","",N(C1084)-N(D1084))</f>
        <v/>
      </c>
    </row>
    <row r="1085" spans="5:5">
      <c r="E1085" s="8">
        <f>IF(A1085="","",N(C1085)-N(D1085))</f>
        <v/>
      </c>
    </row>
    <row r="1086" spans="5:5">
      <c r="E1086" s="8">
        <f>IF(A1086="","",N(C1086)-N(D1086))</f>
        <v/>
      </c>
    </row>
    <row r="1087" spans="5:5">
      <c r="E1087" s="8">
        <f>IF(A1087="","",N(C1087)-N(D1087))</f>
        <v/>
      </c>
    </row>
    <row r="1088" spans="5:5">
      <c r="E1088" s="8">
        <f>IF(A1088="","",N(C1088)-N(D1088))</f>
        <v/>
      </c>
    </row>
    <row r="1089" spans="5:5">
      <c r="E1089" s="8">
        <f>IF(A1089="","",N(C1089)-N(D1089))</f>
        <v/>
      </c>
    </row>
    <row r="1090" spans="5:5">
      <c r="E1090" s="8">
        <f>IF(A1090="","",N(C1090)-N(D1090))</f>
        <v/>
      </c>
    </row>
    <row r="1091" spans="5:5">
      <c r="E1091" s="8">
        <f>IF(A1091="","",N(C1091)-N(D1091))</f>
        <v/>
      </c>
    </row>
    <row r="1092" spans="5:5">
      <c r="E1092" s="8">
        <f>IF(A1092="","",N(C1092)-N(D1092))</f>
        <v/>
      </c>
    </row>
    <row r="1093" spans="5:5">
      <c r="E1093" s="8">
        <f>IF(A1093="","",N(C1093)-N(D1093))</f>
        <v/>
      </c>
    </row>
    <row r="1094" spans="5:5">
      <c r="E1094" s="8">
        <f>IF(A1094="","",N(C1094)-N(D1094))</f>
        <v/>
      </c>
    </row>
    <row r="1095" spans="5:5">
      <c r="E1095" s="8">
        <f>IF(A1095="","",N(C1095)-N(D1095))</f>
        <v/>
      </c>
    </row>
    <row r="1096" spans="5:5">
      <c r="E1096" s="8">
        <f>IF(A1096="","",N(C1096)-N(D1096))</f>
        <v/>
      </c>
    </row>
    <row r="1097" spans="5:5">
      <c r="E1097" s="8">
        <f>IF(A1097="","",N(C1097)-N(D1097))</f>
        <v/>
      </c>
    </row>
    <row r="1098" spans="5:5">
      <c r="E1098" s="8">
        <f>IF(A1098="","",N(C1098)-N(D1098))</f>
        <v/>
      </c>
    </row>
    <row r="1099" spans="5:5">
      <c r="E1099" s="8">
        <f>IF(A1099="","",N(C1099)-N(D1099))</f>
        <v/>
      </c>
    </row>
    <row r="1100" spans="5:5">
      <c r="E1100" s="8">
        <f>IF(A1100="","",N(C1100)-N(D1100))</f>
        <v/>
      </c>
    </row>
    <row r="1101" spans="5:5">
      <c r="E1101" s="8">
        <f>IF(A1101="","",N(C1101)-N(D1101))</f>
        <v/>
      </c>
    </row>
    <row r="1102" spans="5:5">
      <c r="E1102" s="8">
        <f>IF(A1102="","",N(C1102)-N(D1102))</f>
        <v/>
      </c>
    </row>
    <row r="1103" spans="5:5">
      <c r="E1103" s="8">
        <f>IF(A1103="","",N(C1103)-N(D1103))</f>
        <v/>
      </c>
    </row>
    <row r="1104" spans="5:5">
      <c r="E1104" s="8">
        <f>IF(A1104="","",N(C1104)-N(D1104))</f>
        <v/>
      </c>
    </row>
    <row r="1105" spans="5:5">
      <c r="E1105" s="8">
        <f>IF(A1105="","",N(C1105)-N(D1105))</f>
        <v/>
      </c>
    </row>
    <row r="1106" spans="5:5">
      <c r="E1106" s="8">
        <f>IF(A1106="","",N(C1106)-N(D1106))</f>
        <v/>
      </c>
    </row>
    <row r="1107" spans="5:5">
      <c r="E1107" s="8">
        <f>IF(A1107="","",N(C1107)-N(D1107))</f>
        <v/>
      </c>
    </row>
    <row r="1108" spans="5:5">
      <c r="E1108" s="8">
        <f>IF(A1108="","",N(C1108)-N(D1108))</f>
        <v/>
      </c>
    </row>
    <row r="1109" spans="5:5">
      <c r="E1109" s="8">
        <f>IF(A1109="","",N(C1109)-N(D1109))</f>
        <v/>
      </c>
    </row>
    <row r="1110" spans="5:5">
      <c r="E1110" s="8">
        <f>IF(A1110="","",N(C1110)-N(D1110))</f>
        <v/>
      </c>
    </row>
    <row r="1111" spans="5:5">
      <c r="E1111" s="8">
        <f>IF(A1111="","",N(C1111)-N(D1111))</f>
        <v/>
      </c>
    </row>
    <row r="1112" spans="5:5">
      <c r="E1112" s="8">
        <f>IF(A1112="","",N(C1112)-N(D1112))</f>
        <v/>
      </c>
    </row>
    <row r="1113" spans="5:5">
      <c r="E1113" s="8">
        <f>IF(A1113="","",N(C1113)-N(D1113))</f>
        <v/>
      </c>
    </row>
    <row r="1114" spans="5:5">
      <c r="E1114" s="8">
        <f>IF(A1114="","",N(C1114)-N(D1114))</f>
        <v/>
      </c>
    </row>
    <row r="1115" spans="5:5">
      <c r="E1115" s="8">
        <f>IF(A1115="","",N(C1115)-N(D1115))</f>
        <v/>
      </c>
    </row>
    <row r="1116" spans="5:5">
      <c r="E1116" s="8">
        <f>IF(A1116="","",N(C1116)-N(D1116))</f>
        <v/>
      </c>
    </row>
    <row r="1117" spans="5:5">
      <c r="E1117" s="8">
        <f>IF(A1117="","",N(C1117)-N(D1117))</f>
        <v/>
      </c>
    </row>
    <row r="1118" spans="5:5">
      <c r="E1118" s="8">
        <f>IF(A1118="","",N(C1118)-N(D1118))</f>
        <v/>
      </c>
    </row>
    <row r="1119" spans="5:5">
      <c r="E1119" s="8">
        <f>IF(A1119="","",N(C1119)-N(D1119))</f>
        <v/>
      </c>
    </row>
    <row r="1120" spans="5:5">
      <c r="E1120" s="8">
        <f>IF(A1120="","",N(C1120)-N(D1120))</f>
        <v/>
      </c>
    </row>
    <row r="1121" spans="5:5">
      <c r="E1121" s="8">
        <f>IF(A1121="","",N(C1121)-N(D1121))</f>
        <v/>
      </c>
    </row>
    <row r="1122" spans="5:5">
      <c r="E1122" s="8">
        <f>IF(A1122="","",N(C1122)-N(D1122))</f>
        <v/>
      </c>
    </row>
    <row r="1123" spans="5:5">
      <c r="E1123" s="8">
        <f>IF(A1123="","",N(C1123)-N(D1123))</f>
        <v/>
      </c>
    </row>
    <row r="1124" spans="5:5">
      <c r="E1124" s="8">
        <f>IF(A1124="","",N(C1124)-N(D1124))</f>
        <v/>
      </c>
    </row>
    <row r="1125" spans="5:5">
      <c r="E1125" s="8">
        <f>IF(A1125="","",N(C1125)-N(D1125))</f>
        <v/>
      </c>
    </row>
    <row r="1126" spans="5:5">
      <c r="E1126" s="8">
        <f>IF(A1126="","",N(C1126)-N(D1126))</f>
        <v/>
      </c>
    </row>
    <row r="1127" spans="5:5">
      <c r="E1127" s="8">
        <f>IF(A1127="","",N(C1127)-N(D1127))</f>
        <v/>
      </c>
    </row>
    <row r="1128" spans="5:5">
      <c r="E1128" s="8">
        <f>IF(A1128="","",N(C1128)-N(D1128))</f>
        <v/>
      </c>
    </row>
    <row r="1129" spans="5:5">
      <c r="E1129" s="8">
        <f>IF(A1129="","",N(C1129)-N(D1129))</f>
        <v/>
      </c>
    </row>
    <row r="1130" spans="5:5">
      <c r="E1130" s="8">
        <f>IF(A1130="","",N(C1130)-N(D1130))</f>
        <v/>
      </c>
    </row>
    <row r="1131" spans="5:5">
      <c r="E1131" s="8">
        <f>IF(A1131="","",N(C1131)-N(D1131))</f>
        <v/>
      </c>
    </row>
    <row r="1132" spans="5:5">
      <c r="E1132" s="8">
        <f>IF(A1132="","",N(C1132)-N(D1132))</f>
        <v/>
      </c>
    </row>
    <row r="1133" spans="5:5">
      <c r="E1133" s="8">
        <f>IF(A1133="","",N(C1133)-N(D1133))</f>
        <v/>
      </c>
    </row>
    <row r="1134" spans="5:5">
      <c r="E1134" s="8">
        <f>IF(A1134="","",N(C1134)-N(D1134))</f>
        <v/>
      </c>
    </row>
    <row r="1135" spans="5:5">
      <c r="E1135" s="8">
        <f>IF(A1135="","",N(C1135)-N(D1135))</f>
        <v/>
      </c>
    </row>
    <row r="1136" spans="5:5">
      <c r="E1136" s="8">
        <f>IF(A1136="","",N(C1136)-N(D1136))</f>
        <v/>
      </c>
    </row>
    <row r="1137" spans="5:5">
      <c r="E1137" s="8">
        <f>IF(A1137="","",N(C1137)-N(D1137))</f>
        <v/>
      </c>
    </row>
    <row r="1138" spans="5:5">
      <c r="E1138" s="8">
        <f>IF(A1138="","",N(C1138)-N(D1138))</f>
        <v/>
      </c>
    </row>
    <row r="1139" spans="5:5">
      <c r="E1139" s="8">
        <f>IF(A1139="","",N(C1139)-N(D1139))</f>
        <v/>
      </c>
    </row>
    <row r="1140" spans="5:5">
      <c r="E1140" s="8">
        <f>IF(A1140="","",N(C1140)-N(D1140))</f>
        <v/>
      </c>
    </row>
    <row r="1141" spans="5:5">
      <c r="E1141" s="8">
        <f>IF(A1141="","",N(C1141)-N(D1141))</f>
        <v/>
      </c>
    </row>
    <row r="1142" spans="5:5">
      <c r="E1142" s="8">
        <f>IF(A1142="","",N(C1142)-N(D1142))</f>
        <v/>
      </c>
    </row>
    <row r="1143" spans="5:5">
      <c r="E1143" s="8">
        <f>IF(A1143="","",N(C1143)-N(D1143))</f>
        <v/>
      </c>
    </row>
    <row r="1144" spans="5:5">
      <c r="E1144" s="8">
        <f>IF(A1144="","",N(C1144)-N(D1144))</f>
        <v/>
      </c>
    </row>
    <row r="1145" spans="5:5">
      <c r="E1145" s="8">
        <f>IF(A1145="","",N(C1145)-N(D1145))</f>
        <v/>
      </c>
    </row>
    <row r="1146" spans="5:5">
      <c r="E1146" s="8">
        <f>IF(A1146="","",N(C1146)-N(D1146))</f>
        <v/>
      </c>
    </row>
    <row r="1147" spans="5:5">
      <c r="E1147" s="8">
        <f>IF(A1147="","",N(C1147)-N(D1147))</f>
        <v/>
      </c>
    </row>
    <row r="1148" spans="5:5">
      <c r="E1148" s="8">
        <f>IF(A1148="","",N(C1148)-N(D1148))</f>
        <v/>
      </c>
    </row>
    <row r="1149" spans="5:5">
      <c r="E1149" s="8">
        <f>IF(A1149="","",N(C1149)-N(D1149))</f>
        <v/>
      </c>
    </row>
    <row r="1150" spans="5:5">
      <c r="E1150" s="8">
        <f>IF(A1150="","",N(C1150)-N(D1150))</f>
        <v/>
      </c>
    </row>
    <row r="1151" spans="5:5">
      <c r="E1151" s="8">
        <f>IF(A1151="","",N(C1151)-N(D1151))</f>
        <v/>
      </c>
    </row>
    <row r="1152" spans="5:5">
      <c r="E1152" s="8">
        <f>IF(A1152="","",N(C1152)-N(D1152))</f>
        <v/>
      </c>
    </row>
    <row r="1153" spans="5:5">
      <c r="E1153" s="8">
        <f>IF(A1153="","",N(C1153)-N(D1153))</f>
        <v/>
      </c>
    </row>
    <row r="1154" spans="5:5">
      <c r="E1154" s="8">
        <f>IF(A1154="","",N(C1154)-N(D1154))</f>
        <v/>
      </c>
    </row>
    <row r="1155" spans="5:5">
      <c r="E1155" s="8">
        <f>IF(A1155="","",N(C1155)-N(D1155))</f>
        <v/>
      </c>
    </row>
    <row r="1156" spans="5:5">
      <c r="E1156" s="8">
        <f>IF(A1156="","",N(C1156)-N(D1156))</f>
        <v/>
      </c>
    </row>
    <row r="1157" spans="5:5">
      <c r="E1157" s="8">
        <f>IF(A1157="","",N(C1157)-N(D1157))</f>
        <v/>
      </c>
    </row>
    <row r="1158" spans="5:5">
      <c r="E1158" s="8">
        <f>IF(A1158="","",N(C1158)-N(D1158))</f>
        <v/>
      </c>
    </row>
    <row r="1159" spans="5:5">
      <c r="E1159" s="8">
        <f>IF(A1159="","",N(C1159)-N(D1159))</f>
        <v/>
      </c>
    </row>
    <row r="1160" spans="5:5">
      <c r="E1160" s="8">
        <f>IF(A1160="","",N(C1160)-N(D1160))</f>
        <v/>
      </c>
    </row>
    <row r="1161" spans="5:5">
      <c r="E1161" s="8">
        <f>IF(A1161="","",N(C1161)-N(D1161))</f>
        <v/>
      </c>
    </row>
    <row r="1162" spans="5:5">
      <c r="E1162" s="8">
        <f>IF(A1162="","",N(C1162)-N(D1162))</f>
        <v/>
      </c>
    </row>
    <row r="1163" spans="5:5">
      <c r="E1163" s="8">
        <f>IF(A1163="","",N(C1163)-N(D1163))</f>
        <v/>
      </c>
    </row>
    <row r="1164" spans="5:5">
      <c r="E1164" s="8">
        <f>IF(A1164="","",N(C1164)-N(D1164))</f>
        <v/>
      </c>
    </row>
    <row r="1165" spans="5:5">
      <c r="E1165" s="8">
        <f>IF(A1165="","",N(C1165)-N(D1165))</f>
        <v/>
      </c>
    </row>
    <row r="1166" spans="5:5">
      <c r="E1166" s="8">
        <f>IF(A1166="","",N(C1166)-N(D1166))</f>
        <v/>
      </c>
    </row>
    <row r="1167" spans="5:5">
      <c r="E1167" s="8">
        <f>IF(A1167="","",N(C1167)-N(D1167))</f>
        <v/>
      </c>
    </row>
    <row r="1168" spans="5:5">
      <c r="E1168" s="8">
        <f>IF(A1168="","",N(C1168)-N(D1168))</f>
        <v/>
      </c>
    </row>
    <row r="1169" spans="5:5">
      <c r="E1169" s="8">
        <f>IF(A1169="","",N(C1169)-N(D1169))</f>
        <v/>
      </c>
    </row>
    <row r="1170" spans="5:5">
      <c r="E1170" s="8">
        <f>IF(A1170="","",N(C1170)-N(D1170))</f>
        <v/>
      </c>
    </row>
    <row r="1171" spans="5:5">
      <c r="E1171" s="8">
        <f>IF(A1171="","",N(C1171)-N(D1171))</f>
        <v/>
      </c>
    </row>
    <row r="1172" spans="5:5">
      <c r="E1172" s="8">
        <f>IF(A1172="","",N(C1172)-N(D1172))</f>
        <v/>
      </c>
    </row>
    <row r="1173" spans="5:5">
      <c r="E1173" s="8">
        <f>IF(A1173="","",N(C1173)-N(D1173))</f>
        <v/>
      </c>
    </row>
    <row r="1174" spans="5:5">
      <c r="E1174" s="8">
        <f>IF(A1174="","",N(C1174)-N(D1174))</f>
        <v/>
      </c>
    </row>
    <row r="1175" spans="5:5">
      <c r="E1175" s="8">
        <f>IF(A1175="","",N(C1175)-N(D1175))</f>
        <v/>
      </c>
    </row>
    <row r="1176" spans="5:5">
      <c r="E1176" s="8">
        <f>IF(A1176="","",N(C1176)-N(D1176))</f>
        <v/>
      </c>
    </row>
    <row r="1177" spans="5:5">
      <c r="E1177" s="8">
        <f>IF(A1177="","",N(C1177)-N(D1177))</f>
        <v/>
      </c>
    </row>
    <row r="1178" spans="5:5">
      <c r="E1178" s="8">
        <f>IF(A1178="","",N(C1178)-N(D1178))</f>
        <v/>
      </c>
    </row>
    <row r="1179" spans="5:5">
      <c r="E1179" s="8">
        <f>IF(A1179="","",N(C1179)-N(D1179))</f>
        <v/>
      </c>
    </row>
    <row r="1180" spans="5:5">
      <c r="E1180" s="8">
        <f>IF(A1180="","",N(C1180)-N(D1180))</f>
        <v/>
      </c>
    </row>
    <row r="1181" spans="5:5">
      <c r="E1181" s="8">
        <f>IF(A1181="","",N(C1181)-N(D1181))</f>
        <v/>
      </c>
    </row>
    <row r="1182" spans="5:5">
      <c r="E1182" s="8">
        <f>IF(A1182="","",N(C1182)-N(D1182))</f>
        <v/>
      </c>
    </row>
    <row r="1183" spans="5:5">
      <c r="E1183" s="8">
        <f>IF(A1183="","",N(C1183)-N(D1183))</f>
        <v/>
      </c>
    </row>
    <row r="1184" spans="5:5">
      <c r="E1184" s="8">
        <f>IF(A1184="","",N(C1184)-N(D1184))</f>
        <v/>
      </c>
    </row>
    <row r="1185" spans="5:5">
      <c r="E1185" s="8">
        <f>IF(A1185="","",N(C1185)-N(D1185))</f>
        <v/>
      </c>
    </row>
    <row r="1186" spans="5:5">
      <c r="E1186" s="8">
        <f>IF(A1186="","",N(C1186)-N(D1186))</f>
        <v/>
      </c>
    </row>
    <row r="1187" spans="5:5">
      <c r="E1187" s="8">
        <f>IF(A1187="","",N(C1187)-N(D1187))</f>
        <v/>
      </c>
    </row>
    <row r="1188" spans="5:5">
      <c r="E1188" s="8">
        <f>IF(A1188="","",N(C1188)-N(D1188))</f>
        <v/>
      </c>
    </row>
    <row r="1189" spans="5:5">
      <c r="E1189" s="8">
        <f>IF(A1189="","",N(C1189)-N(D1189))</f>
        <v/>
      </c>
    </row>
    <row r="1190" spans="5:5">
      <c r="E1190" s="8">
        <f>IF(A1190="","",N(C1190)-N(D1190))</f>
        <v/>
      </c>
    </row>
    <row r="1191" spans="5:5">
      <c r="E1191" s="8">
        <f>IF(A1191="","",N(C1191)-N(D1191))</f>
        <v/>
      </c>
    </row>
    <row r="1192" spans="5:5">
      <c r="E1192" s="8">
        <f>IF(A1192="","",N(C1192)-N(D1192))</f>
        <v/>
      </c>
    </row>
    <row r="1193" spans="5:5">
      <c r="E1193" s="8">
        <f>IF(A1193="","",N(C1193)-N(D1193))</f>
        <v/>
      </c>
    </row>
    <row r="1194" spans="5:5">
      <c r="E1194" s="8">
        <f>IF(A1194="","",N(C1194)-N(D1194))</f>
        <v/>
      </c>
    </row>
    <row r="1195" spans="5:5">
      <c r="E1195" s="8">
        <f>IF(A1195="","",N(C1195)-N(D1195))</f>
        <v/>
      </c>
    </row>
    <row r="1196" spans="5:5">
      <c r="E1196" s="8">
        <f>IF(A1196="","",N(C1196)-N(D1196))</f>
        <v/>
      </c>
    </row>
    <row r="1197" spans="5:5">
      <c r="E1197" s="8">
        <f>IF(A1197="","",N(C1197)-N(D1197))</f>
        <v/>
      </c>
    </row>
    <row r="1198" spans="5:5">
      <c r="E1198" s="8">
        <f>IF(A1198="","",N(C1198)-N(D1198))</f>
        <v/>
      </c>
    </row>
    <row r="1199" spans="5:5">
      <c r="E1199" s="8">
        <f>IF(A1199="","",N(C1199)-N(D1199))</f>
        <v/>
      </c>
    </row>
    <row r="1200" spans="5:5">
      <c r="E1200" s="8">
        <f>IF(A1200="","",N(C1200)-N(D1200))</f>
        <v/>
      </c>
    </row>
    <row r="1201" spans="5:5">
      <c r="E1201" s="8">
        <f>IF(A1201="","",N(C1201)-N(D1201))</f>
        <v/>
      </c>
    </row>
    <row r="1202" spans="5:5">
      <c r="E1202" s="8">
        <f>IF(A1202="","",N(C1202)-N(D1202))</f>
        <v/>
      </c>
    </row>
    <row r="1203" spans="5:5">
      <c r="E1203" s="8">
        <f>IF(A1203="","",N(C1203)-N(D1203))</f>
        <v/>
      </c>
    </row>
    <row r="1204" spans="5:5">
      <c r="E1204" s="8">
        <f>IF(A1204="","",N(C1204)-N(D1204))</f>
        <v/>
      </c>
    </row>
    <row r="1205" spans="5:5">
      <c r="E1205" s="8">
        <f>IF(A1205="","",N(C1205)-N(D1205))</f>
        <v/>
      </c>
    </row>
    <row r="1206" spans="5:5">
      <c r="E1206" s="8">
        <f>IF(A1206="","",N(C1206)-N(D1206))</f>
        <v/>
      </c>
    </row>
    <row r="1207" spans="5:5">
      <c r="E1207" s="8">
        <f>IF(A1207="","",N(C1207)-N(D1207))</f>
        <v/>
      </c>
    </row>
    <row r="1208" spans="5:5">
      <c r="E1208" s="8">
        <f>IF(A1208="","",N(C1208)-N(D1208))</f>
        <v/>
      </c>
    </row>
    <row r="1209" spans="5:5">
      <c r="E1209" s="8">
        <f>IF(A1209="","",N(C1209)-N(D1209))</f>
        <v/>
      </c>
    </row>
    <row r="1210" spans="5:5">
      <c r="E1210" s="8">
        <f>IF(A1210="","",N(C1210)-N(D1210))</f>
        <v/>
      </c>
    </row>
    <row r="1211" spans="5:5">
      <c r="E1211" s="8">
        <f>IF(A1211="","",N(C1211)-N(D1211))</f>
        <v/>
      </c>
    </row>
    <row r="1212" spans="5:5">
      <c r="E1212" s="8">
        <f>IF(A1212="","",N(C1212)-N(D1212))</f>
        <v/>
      </c>
    </row>
    <row r="1213" spans="5:5">
      <c r="E1213" s="8">
        <f>IF(A1213="","",N(C1213)-N(D1213))</f>
        <v/>
      </c>
    </row>
    <row r="1214" spans="5:5">
      <c r="E1214" s="8">
        <f>IF(A1214="","",N(C1214)-N(D1214))</f>
        <v/>
      </c>
    </row>
    <row r="1215" spans="5:5">
      <c r="E1215" s="8">
        <f>IF(A1215="","",N(C1215)-N(D1215))</f>
        <v/>
      </c>
    </row>
    <row r="1216" spans="5:5">
      <c r="E1216" s="8">
        <f>IF(A1216="","",N(C1216)-N(D1216))</f>
        <v/>
      </c>
    </row>
    <row r="1217" spans="5:5">
      <c r="E1217" s="8">
        <f>IF(A1217="","",N(C1217)-N(D1217))</f>
        <v/>
      </c>
    </row>
    <row r="1218" spans="5:5">
      <c r="E1218" s="8">
        <f>IF(A1218="","",N(C1218)-N(D1218))</f>
        <v/>
      </c>
    </row>
    <row r="1219" spans="5:5">
      <c r="E1219" s="8">
        <f>IF(A1219="","",N(C1219)-N(D1219))</f>
        <v/>
      </c>
    </row>
    <row r="1220" spans="5:5">
      <c r="E1220" s="8">
        <f>IF(A1220="","",N(C1220)-N(D1220))</f>
        <v/>
      </c>
    </row>
    <row r="1221" spans="5:5">
      <c r="E1221" s="8">
        <f>IF(A1221="","",N(C1221)-N(D1221))</f>
        <v/>
      </c>
    </row>
    <row r="1222" spans="5:5">
      <c r="E1222" s="8">
        <f>IF(A1222="","",N(C1222)-N(D1222))</f>
        <v/>
      </c>
    </row>
    <row r="1223" spans="5:5">
      <c r="E1223" s="8">
        <f>IF(A1223="","",N(C1223)-N(D1223))</f>
        <v/>
      </c>
    </row>
    <row r="1224" spans="5:5">
      <c r="E1224" s="8">
        <f>IF(A1224="","",N(C1224)-N(D1224))</f>
        <v/>
      </c>
    </row>
    <row r="1225" spans="5:5">
      <c r="E1225" s="8">
        <f>IF(A1225="","",N(C1225)-N(D1225))</f>
        <v/>
      </c>
    </row>
    <row r="1226" spans="5:5">
      <c r="E1226" s="8">
        <f>IF(A1226="","",N(C1226)-N(D1226))</f>
        <v/>
      </c>
    </row>
    <row r="1227" spans="5:5">
      <c r="E1227" s="8">
        <f>IF(A1227="","",N(C1227)-N(D1227))</f>
        <v/>
      </c>
    </row>
    <row r="1228" spans="5:5">
      <c r="E1228" s="8">
        <f>IF(A1228="","",N(C1228)-N(D1228))</f>
        <v/>
      </c>
    </row>
    <row r="1229" spans="5:5">
      <c r="E1229" s="8">
        <f>IF(A1229="","",N(C1229)-N(D1229))</f>
        <v/>
      </c>
    </row>
    <row r="1230" spans="5:5">
      <c r="E1230" s="8">
        <f>IF(A1230="","",N(C1230)-N(D1230))</f>
        <v/>
      </c>
    </row>
    <row r="1231" spans="5:5">
      <c r="E1231" s="8">
        <f>IF(A1231="","",N(C1231)-N(D1231))</f>
        <v/>
      </c>
    </row>
    <row r="1232" spans="5:5">
      <c r="E1232" s="8">
        <f>IF(A1232="","",N(C1232)-N(D1232))</f>
        <v/>
      </c>
    </row>
    <row r="1233" spans="5:5">
      <c r="E1233" s="8">
        <f>IF(A1233="","",N(C1233)-N(D1233))</f>
        <v/>
      </c>
    </row>
    <row r="1234" spans="5:5">
      <c r="E1234" s="8">
        <f>IF(A1234="","",N(C1234)-N(D1234))</f>
        <v/>
      </c>
    </row>
    <row r="1235" spans="5:5">
      <c r="E1235" s="8">
        <f>IF(A1235="","",N(C1235)-N(D1235))</f>
        <v/>
      </c>
    </row>
    <row r="1236" spans="5:5">
      <c r="E1236" s="8">
        <f>IF(A1236="","",N(C1236)-N(D1236))</f>
        <v/>
      </c>
    </row>
    <row r="1237" spans="5:5">
      <c r="E1237" s="8">
        <f>IF(A1237="","",N(C1237)-N(D1237))</f>
        <v/>
      </c>
    </row>
    <row r="1238" spans="5:5">
      <c r="E1238" s="8">
        <f>IF(A1238="","",N(C1238)-N(D1238))</f>
        <v/>
      </c>
    </row>
    <row r="1239" spans="5:5">
      <c r="E1239" s="8">
        <f>IF(A1239="","",N(C1239)-N(D1239))</f>
        <v/>
      </c>
    </row>
    <row r="1240" spans="5:5">
      <c r="E1240" s="8">
        <f>IF(A1240="","",N(C1240)-N(D1240))</f>
        <v/>
      </c>
    </row>
    <row r="1241" spans="5:5">
      <c r="E1241" s="8">
        <f>IF(A1241="","",N(C1241)-N(D1241))</f>
        <v/>
      </c>
    </row>
    <row r="1242" spans="5:5">
      <c r="E1242" s="8">
        <f>IF(A1242="","",N(C1242)-N(D1242))</f>
        <v/>
      </c>
    </row>
    <row r="1243" spans="5:5">
      <c r="E1243" s="8">
        <f>IF(A1243="","",N(C1243)-N(D1243))</f>
        <v/>
      </c>
    </row>
    <row r="1244" spans="5:5">
      <c r="E1244" s="8">
        <f>IF(A1244="","",N(C1244)-N(D1244))</f>
        <v/>
      </c>
    </row>
    <row r="1245" spans="5:5">
      <c r="E1245" s="8">
        <f>IF(A1245="","",N(C1245)-N(D1245))</f>
        <v/>
      </c>
    </row>
    <row r="1246" spans="5:5">
      <c r="E1246" s="8">
        <f>IF(A1246="","",N(C1246)-N(D1246))</f>
        <v/>
      </c>
    </row>
    <row r="1247" spans="5:5">
      <c r="E1247" s="8">
        <f>IF(A1247="","",N(C1247)-N(D1247))</f>
        <v/>
      </c>
    </row>
    <row r="1248" spans="5:5">
      <c r="E1248" s="8">
        <f>IF(A1248="","",N(C1248)-N(D1248))</f>
        <v/>
      </c>
    </row>
    <row r="1249" spans="5:5">
      <c r="E1249" s="8">
        <f>IF(A1249="","",N(C1249)-N(D1249))</f>
        <v/>
      </c>
    </row>
    <row r="1250" spans="5:5">
      <c r="E1250" s="8">
        <f>IF(A1250="","",N(C1250)-N(D1250))</f>
        <v/>
      </c>
    </row>
    <row r="1251" spans="5:5">
      <c r="E1251" s="8">
        <f>IF(A1251="","",N(C1251)-N(D1251))</f>
        <v/>
      </c>
    </row>
    <row r="1252" spans="5:5">
      <c r="E1252" s="8">
        <f>IF(A1252="","",N(C1252)-N(D1252))</f>
        <v/>
      </c>
    </row>
    <row r="1253" spans="5:5">
      <c r="E1253" s="8">
        <f>IF(A1253="","",N(C1253)-N(D1253))</f>
        <v/>
      </c>
    </row>
    <row r="1254" spans="5:5">
      <c r="E1254" s="8">
        <f>IF(A1254="","",N(C1254)-N(D1254))</f>
        <v/>
      </c>
    </row>
    <row r="1255" spans="5:5">
      <c r="E1255" s="8">
        <f>IF(A1255="","",N(C1255)-N(D1255))</f>
        <v/>
      </c>
    </row>
    <row r="1256" spans="5:5">
      <c r="E1256" s="8">
        <f>IF(A1256="","",N(C1256)-N(D1256))</f>
        <v/>
      </c>
    </row>
    <row r="1257" spans="5:5">
      <c r="E1257" s="8">
        <f>IF(A1257="","",N(C1257)-N(D1257))</f>
        <v/>
      </c>
    </row>
    <row r="1258" spans="5:5">
      <c r="E1258" s="8">
        <f>IF(A1258="","",N(C1258)-N(D1258))</f>
        <v/>
      </c>
    </row>
    <row r="1259" spans="5:5">
      <c r="E1259" s="8">
        <f>IF(A1259="","",N(C1259)-N(D1259))</f>
        <v/>
      </c>
    </row>
    <row r="1260" spans="5:5">
      <c r="E1260" s="8">
        <f>IF(A1260="","",N(C1260)-N(D1260))</f>
        <v/>
      </c>
    </row>
    <row r="1261" spans="5:5">
      <c r="E1261" s="8">
        <f>IF(A1261="","",N(C1261)-N(D1261))</f>
        <v/>
      </c>
    </row>
    <row r="1262" spans="5:5">
      <c r="E1262" s="8">
        <f>IF(A1262="","",N(C1262)-N(D1262))</f>
        <v/>
      </c>
    </row>
    <row r="1263" spans="5:5">
      <c r="E1263" s="8">
        <f>IF(A1263="","",N(C1263)-N(D1263))</f>
        <v/>
      </c>
    </row>
    <row r="1264" spans="5:5">
      <c r="E1264" s="8">
        <f>IF(A1264="","",N(C1264)-N(D1264))</f>
        <v/>
      </c>
    </row>
    <row r="1265" spans="5:5">
      <c r="E1265" s="8">
        <f>IF(A1265="","",N(C1265)-N(D1265))</f>
        <v/>
      </c>
    </row>
    <row r="1266" spans="5:5">
      <c r="E1266" s="8">
        <f>IF(A1266="","",N(C1266)-N(D1266))</f>
        <v/>
      </c>
    </row>
    <row r="1267" spans="5:5">
      <c r="E1267" s="8">
        <f>IF(A1267="","",N(C1267)-N(D1267))</f>
        <v/>
      </c>
    </row>
    <row r="1268" spans="5:5">
      <c r="E1268" s="8">
        <f>IF(A1268="","",N(C1268)-N(D1268))</f>
        <v/>
      </c>
    </row>
    <row r="1269" spans="5:5">
      <c r="E1269" s="8">
        <f>IF(A1269="","",N(C1269)-N(D1269))</f>
        <v/>
      </c>
    </row>
    <row r="1270" spans="5:5">
      <c r="E1270" s="8">
        <f>IF(A1270="","",N(C1270)-N(D1270))</f>
        <v/>
      </c>
    </row>
    <row r="1271" spans="5:5">
      <c r="E1271" s="8">
        <f>IF(A1271="","",N(C1271)-N(D1271))</f>
        <v/>
      </c>
    </row>
    <row r="1272" spans="5:5">
      <c r="E1272" s="8">
        <f>IF(A1272="","",N(C1272)-N(D1272))</f>
        <v/>
      </c>
    </row>
    <row r="1273" spans="5:5">
      <c r="E1273" s="8">
        <f>IF(A1273="","",N(C1273)-N(D1273))</f>
        <v/>
      </c>
    </row>
    <row r="1274" spans="5:5">
      <c r="E1274" s="8">
        <f>IF(A1274="","",N(C1274)-N(D1274))</f>
        <v/>
      </c>
    </row>
    <row r="1275" spans="5:5">
      <c r="E1275" s="8">
        <f>IF(A1275="","",N(C1275)-N(D1275))</f>
        <v/>
      </c>
    </row>
    <row r="1276" spans="5:5">
      <c r="E1276" s="8">
        <f>IF(A1276="","",N(C1276)-N(D1276))</f>
        <v/>
      </c>
    </row>
    <row r="1277" spans="5:5">
      <c r="E1277" s="8">
        <f>IF(A1277="","",N(C1277)-N(D1277))</f>
        <v/>
      </c>
    </row>
    <row r="1278" spans="5:5">
      <c r="E1278" s="8">
        <f>IF(A1278="","",N(C1278)-N(D1278))</f>
        <v/>
      </c>
    </row>
    <row r="1279" spans="5:5">
      <c r="E1279" s="8">
        <f>IF(A1279="","",N(C1279)-N(D1279))</f>
        <v/>
      </c>
    </row>
    <row r="1280" spans="5:5">
      <c r="E1280" s="8">
        <f>IF(A1280="","",N(C1280)-N(D1280))</f>
        <v/>
      </c>
    </row>
    <row r="1281" spans="5:5">
      <c r="E1281" s="8">
        <f>IF(A1281="","",N(C1281)-N(D1281))</f>
        <v/>
      </c>
    </row>
    <row r="1282" spans="5:5">
      <c r="E1282" s="8">
        <f>IF(A1282="","",N(C1282)-N(D1282))</f>
        <v/>
      </c>
    </row>
    <row r="1283" spans="5:5">
      <c r="E1283" s="8">
        <f>IF(A1283="","",N(C1283)-N(D1283))</f>
        <v/>
      </c>
    </row>
    <row r="1284" spans="5:5">
      <c r="E1284" s="8">
        <f>IF(A1284="","",N(C1284)-N(D1284))</f>
        <v/>
      </c>
    </row>
    <row r="1285" spans="5:5">
      <c r="E1285" s="8">
        <f>IF(A1285="","",N(C1285)-N(D1285))</f>
        <v/>
      </c>
    </row>
    <row r="1286" spans="5:5">
      <c r="E1286" s="8">
        <f>IF(A1286="","",N(C1286)-N(D1286))</f>
        <v/>
      </c>
    </row>
    <row r="1287" spans="5:5">
      <c r="E1287" s="8">
        <f>IF(A1287="","",N(C1287)-N(D1287))</f>
        <v/>
      </c>
    </row>
    <row r="1288" spans="5:5">
      <c r="E1288" s="8">
        <f>IF(A1288="","",N(C1288)-N(D1288))</f>
        <v/>
      </c>
    </row>
    <row r="1289" spans="5:5">
      <c r="E1289" s="8">
        <f>IF(A1289="","",N(C1289)-N(D1289))</f>
        <v/>
      </c>
    </row>
    <row r="1290" spans="5:5">
      <c r="E1290" s="8">
        <f>IF(A1290="","",N(C1290)-N(D1290))</f>
        <v/>
      </c>
    </row>
    <row r="1291" spans="5:5">
      <c r="E1291" s="8">
        <f>IF(A1291="","",N(C1291)-N(D1291))</f>
        <v/>
      </c>
    </row>
    <row r="1292" spans="5:5">
      <c r="E1292" s="8">
        <f>IF(A1292="","",N(C1292)-N(D1292))</f>
        <v/>
      </c>
    </row>
    <row r="1293" spans="5:5">
      <c r="E1293" s="8">
        <f>IF(A1293="","",N(C1293)-N(D1293))</f>
        <v/>
      </c>
    </row>
    <row r="1294" spans="5:5">
      <c r="E1294" s="8">
        <f>IF(A1294="","",N(C1294)-N(D1294))</f>
        <v/>
      </c>
    </row>
    <row r="1295" spans="5:5">
      <c r="E1295" s="8">
        <f>IF(A1295="","",N(C1295)-N(D1295))</f>
        <v/>
      </c>
    </row>
    <row r="1296" spans="5:5">
      <c r="E1296" s="8">
        <f>IF(A1296="","",N(C1296)-N(D1296))</f>
        <v/>
      </c>
    </row>
    <row r="1297" spans="5:5">
      <c r="E1297" s="8">
        <f>IF(A1297="","",N(C1297)-N(D1297))</f>
        <v/>
      </c>
    </row>
    <row r="1298" spans="5:5">
      <c r="E1298" s="8">
        <f>IF(A1298="","",N(C1298)-N(D1298))</f>
        <v/>
      </c>
    </row>
    <row r="1299" spans="5:5">
      <c r="E1299" s="8">
        <f>IF(A1299="","",N(C1299)-N(D1299))</f>
        <v/>
      </c>
    </row>
    <row r="1300" spans="5:5">
      <c r="E1300" s="8">
        <f>IF(A1300="","",N(C1300)-N(D1300))</f>
        <v/>
      </c>
    </row>
    <row r="1301" spans="5:5">
      <c r="E1301" s="8">
        <f>IF(A1301="","",N(C1301)-N(D1301))</f>
        <v/>
      </c>
    </row>
    <row r="1302" spans="5:5">
      <c r="E1302" s="8">
        <f>IF(A1302="","",N(C1302)-N(D1302))</f>
        <v/>
      </c>
    </row>
    <row r="1303" spans="5:5">
      <c r="E1303" s="8">
        <f>IF(A1303="","",N(C1303)-N(D1303))</f>
        <v/>
      </c>
    </row>
    <row r="1304" spans="5:5">
      <c r="E1304" s="8">
        <f>IF(A1304="","",N(C1304)-N(D1304))</f>
        <v/>
      </c>
    </row>
    <row r="1305" spans="5:5">
      <c r="E1305" s="8">
        <f>IF(A1305="","",N(C1305)-N(D1305))</f>
        <v/>
      </c>
    </row>
    <row r="1306" spans="5:5">
      <c r="E1306" s="8">
        <f>IF(A1306="","",N(C1306)-N(D1306))</f>
        <v/>
      </c>
    </row>
    <row r="1307" spans="5:5">
      <c r="E1307" s="8">
        <f>IF(A1307="","",N(C1307)-N(D1307))</f>
        <v/>
      </c>
    </row>
    <row r="1308" spans="5:5">
      <c r="E1308" s="8">
        <f>IF(A1308="","",N(C1308)-N(D1308))</f>
        <v/>
      </c>
    </row>
    <row r="1309" spans="5:5">
      <c r="E1309" s="8">
        <f>IF(A1309="","",N(C1309)-N(D1309))</f>
        <v/>
      </c>
    </row>
    <row r="1310" spans="5:5">
      <c r="E1310" s="8">
        <f>IF(A1310="","",N(C1310)-N(D1310))</f>
        <v/>
      </c>
    </row>
    <row r="1311" spans="5:5">
      <c r="E1311" s="8">
        <f>IF(A1311="","",N(C1311)-N(D1311))</f>
        <v/>
      </c>
    </row>
    <row r="1312" spans="5:5">
      <c r="E1312" s="8">
        <f>IF(A1312="","",N(C1312)-N(D1312))</f>
        <v/>
      </c>
    </row>
    <row r="1313" spans="5:5">
      <c r="E1313" s="8">
        <f>IF(A1313="","",N(C1313)-N(D1313))</f>
        <v/>
      </c>
    </row>
    <row r="1314" spans="5:5">
      <c r="E1314" s="8">
        <f>IF(A1314="","",N(C1314)-N(D1314))</f>
        <v/>
      </c>
    </row>
    <row r="1315" spans="5:5">
      <c r="E1315" s="8">
        <f>IF(A1315="","",N(C1315)-N(D1315))</f>
        <v/>
      </c>
    </row>
    <row r="1316" spans="5:5">
      <c r="E1316" s="8">
        <f>IF(A1316="","",N(C1316)-N(D1316))</f>
        <v/>
      </c>
    </row>
    <row r="1317" spans="5:5">
      <c r="E1317" s="8">
        <f>IF(A1317="","",N(C1317)-N(D1317))</f>
        <v/>
      </c>
    </row>
    <row r="1318" spans="5:5">
      <c r="E1318" s="8">
        <f>IF(A1318="","",N(C1318)-N(D1318))</f>
        <v/>
      </c>
    </row>
    <row r="1319" spans="5:5">
      <c r="E1319" s="8">
        <f>IF(A1319="","",N(C1319)-N(D1319))</f>
        <v/>
      </c>
    </row>
    <row r="1320" spans="5:5">
      <c r="E1320" s="8">
        <f>IF(A1320="","",N(C1320)-N(D1320))</f>
        <v/>
      </c>
    </row>
    <row r="1321" spans="5:5">
      <c r="E1321" s="8">
        <f>IF(A1321="","",N(C1321)-N(D1321))</f>
        <v/>
      </c>
    </row>
    <row r="1322" spans="5:5">
      <c r="E1322" s="8">
        <f>IF(A1322="","",N(C1322)-N(D1322))</f>
        <v/>
      </c>
    </row>
    <row r="1323" spans="5:5">
      <c r="E1323" s="8">
        <f>IF(A1323="","",N(C1323)-N(D1323))</f>
        <v/>
      </c>
    </row>
    <row r="1324" spans="5:5">
      <c r="E1324" s="8">
        <f>IF(A1324="","",N(C1324)-N(D1324))</f>
        <v/>
      </c>
    </row>
    <row r="1325" spans="5:5">
      <c r="E1325" s="8">
        <f>IF(A1325="","",N(C1325)-N(D1325))</f>
        <v/>
      </c>
    </row>
    <row r="1326" spans="5:5">
      <c r="E1326" s="8">
        <f>IF(A1326="","",N(C1326)-N(D1326))</f>
        <v/>
      </c>
    </row>
    <row r="1327" spans="5:5">
      <c r="E1327" s="8">
        <f>IF(A1327="","",N(C1327)-N(D1327))</f>
        <v/>
      </c>
    </row>
    <row r="1328" spans="5:5">
      <c r="E1328" s="8">
        <f>IF(A1328="","",N(C1328)-N(D1328))</f>
        <v/>
      </c>
    </row>
    <row r="1329" spans="5:5">
      <c r="E1329" s="8">
        <f>IF(A1329="","",N(C1329)-N(D1329))</f>
        <v/>
      </c>
    </row>
    <row r="1330" spans="5:5">
      <c r="E1330" s="8">
        <f>IF(A1330="","",N(C1330)-N(D1330))</f>
        <v/>
      </c>
    </row>
    <row r="1331" spans="5:5">
      <c r="E1331" s="8">
        <f>IF(A1331="","",N(C1331)-N(D1331))</f>
        <v/>
      </c>
    </row>
    <row r="1332" spans="5:5">
      <c r="E1332" s="8">
        <f>IF(A1332="","",N(C1332)-N(D1332))</f>
        <v/>
      </c>
    </row>
    <row r="1333" spans="5:5">
      <c r="E1333" s="8">
        <f>IF(A1333="","",N(C1333)-N(D1333))</f>
        <v/>
      </c>
    </row>
    <row r="1334" spans="5:5">
      <c r="E1334" s="8">
        <f>IF(A1334="","",N(C1334)-N(D1334))</f>
        <v/>
      </c>
    </row>
    <row r="1335" spans="5:5">
      <c r="E1335" s="8">
        <f>IF(A1335="","",N(C1335)-N(D1335))</f>
        <v/>
      </c>
    </row>
    <row r="1336" spans="5:5">
      <c r="E1336" s="8">
        <f>IF(A1336="","",N(C1336)-N(D1336))</f>
        <v/>
      </c>
    </row>
    <row r="1337" spans="5:5">
      <c r="E1337" s="8">
        <f>IF(A1337="","",N(C1337)-N(D1337))</f>
        <v/>
      </c>
    </row>
    <row r="1338" spans="5:5">
      <c r="E1338" s="8">
        <f>IF(A1338="","",N(C1338)-N(D1338))</f>
        <v/>
      </c>
    </row>
    <row r="1339" spans="5:5">
      <c r="E1339" s="8">
        <f>IF(A1339="","",N(C1339)-N(D1339))</f>
        <v/>
      </c>
    </row>
    <row r="1340" spans="5:5">
      <c r="E1340" s="8">
        <f>IF(A1340="","",N(C1340)-N(D1340))</f>
        <v/>
      </c>
    </row>
    <row r="1341" spans="5:5">
      <c r="E1341" s="8">
        <f>IF(A1341="","",N(C1341)-N(D1341))</f>
        <v/>
      </c>
    </row>
    <row r="1342" spans="5:5">
      <c r="E1342" s="8">
        <f>IF(A1342="","",N(C1342)-N(D1342))</f>
        <v/>
      </c>
    </row>
    <row r="1343" spans="5:5">
      <c r="E1343" s="8">
        <f>IF(A1343="","",N(C1343)-N(D1343))</f>
        <v/>
      </c>
    </row>
    <row r="1344" spans="5:5">
      <c r="E1344" s="8">
        <f>IF(A1344="","",N(C1344)-N(D1344))</f>
        <v/>
      </c>
    </row>
    <row r="1345" spans="5:5">
      <c r="E1345" s="8">
        <f>IF(A1345="","",N(C1345)-N(D1345))</f>
        <v/>
      </c>
    </row>
    <row r="1346" spans="5:5">
      <c r="E1346" s="8">
        <f>IF(A1346="","",N(C1346)-N(D1346))</f>
        <v/>
      </c>
    </row>
    <row r="1347" spans="5:5">
      <c r="E1347" s="8">
        <f>IF(A1347="","",N(C1347)-N(D1347))</f>
        <v/>
      </c>
    </row>
    <row r="1348" spans="5:5">
      <c r="E1348" s="8">
        <f>IF(A1348="","",N(C1348)-N(D1348))</f>
        <v/>
      </c>
    </row>
    <row r="1349" spans="5:5">
      <c r="E1349" s="8">
        <f>IF(A1349="","",N(C1349)-N(D1349))</f>
        <v/>
      </c>
    </row>
    <row r="1350" spans="5:5">
      <c r="E1350" s="8">
        <f>IF(A1350="","",N(C1350)-N(D1350))</f>
        <v/>
      </c>
    </row>
    <row r="1351" spans="5:5">
      <c r="E1351" s="8">
        <f>IF(A1351="","",N(C1351)-N(D1351))</f>
        <v/>
      </c>
    </row>
    <row r="1352" spans="5:5">
      <c r="E1352" s="8">
        <f>IF(A1352="","",N(C1352)-N(D1352))</f>
        <v/>
      </c>
    </row>
    <row r="1353" spans="5:5">
      <c r="E1353" s="8">
        <f>IF(A1353="","",N(C1353)-N(D1353))</f>
        <v/>
      </c>
    </row>
    <row r="1354" spans="5:5">
      <c r="E1354" s="8">
        <f>IF(A1354="","",N(C1354)-N(D1354))</f>
        <v/>
      </c>
    </row>
    <row r="1355" spans="5:5">
      <c r="E1355" s="8">
        <f>IF(A1355="","",N(C1355)-N(D1355))</f>
        <v/>
      </c>
    </row>
    <row r="1356" spans="5:5">
      <c r="E1356" s="8">
        <f>IF(A1356="","",N(C1356)-N(D1356))</f>
        <v/>
      </c>
    </row>
    <row r="1357" spans="5:5">
      <c r="E1357" s="8">
        <f>IF(A1357="","",N(C1357)-N(D1357))</f>
        <v/>
      </c>
    </row>
    <row r="1358" spans="5:5">
      <c r="E1358" s="8">
        <f>IF(A1358="","",N(C1358)-N(D1358))</f>
        <v/>
      </c>
    </row>
    <row r="1359" spans="5:5">
      <c r="E1359" s="8">
        <f>IF(A1359="","",N(C1359)-N(D1359))</f>
        <v/>
      </c>
    </row>
    <row r="1360" spans="5:5">
      <c r="E1360" s="8">
        <f>IF(A1360="","",N(C1360)-N(D1360))</f>
        <v/>
      </c>
    </row>
    <row r="1361" spans="5:5">
      <c r="E1361" s="8">
        <f>IF(A1361="","",N(C1361)-N(D1361))</f>
        <v/>
      </c>
    </row>
    <row r="1362" spans="5:5">
      <c r="E1362" s="8">
        <f>IF(A1362="","",N(C1362)-N(D1362))</f>
        <v/>
      </c>
    </row>
    <row r="1363" spans="5:5">
      <c r="E1363" s="8">
        <f>IF(A1363="","",N(C1363)-N(D1363))</f>
        <v/>
      </c>
    </row>
    <row r="1364" spans="5:5">
      <c r="E1364" s="8">
        <f>IF(A1364="","",N(C1364)-N(D1364))</f>
        <v/>
      </c>
    </row>
    <row r="1365" spans="5:5">
      <c r="E1365" s="8">
        <f>IF(A1365="","",N(C1365)-N(D1365))</f>
        <v/>
      </c>
    </row>
    <row r="1366" spans="5:5">
      <c r="E1366" s="8">
        <f>IF(A1366="","",N(C1366)-N(D1366))</f>
        <v/>
      </c>
    </row>
    <row r="1367" spans="5:5">
      <c r="E1367" s="8">
        <f>IF(A1367="","",N(C1367)-N(D1367))</f>
        <v/>
      </c>
    </row>
    <row r="1368" spans="5:5">
      <c r="E1368" s="8">
        <f>IF(A1368="","",N(C1368)-N(D1368))</f>
        <v/>
      </c>
    </row>
    <row r="1369" spans="5:5">
      <c r="E1369" s="8">
        <f>IF(A1369="","",N(C1369)-N(D1369))</f>
        <v/>
      </c>
    </row>
    <row r="1370" spans="5:5">
      <c r="E1370" s="8">
        <f>IF(A1370="","",N(C1370)-N(D1370))</f>
        <v/>
      </c>
    </row>
    <row r="1371" spans="5:5">
      <c r="E1371" s="8">
        <f>IF(A1371="","",N(C1371)-N(D1371))</f>
        <v/>
      </c>
    </row>
    <row r="1372" spans="5:5">
      <c r="E1372" s="8">
        <f>IF(A1372="","",N(C1372)-N(D1372))</f>
        <v/>
      </c>
    </row>
    <row r="1373" spans="5:5">
      <c r="E1373" s="8">
        <f>IF(A1373="","",N(C1373)-N(D1373))</f>
        <v/>
      </c>
    </row>
    <row r="1374" spans="5:5">
      <c r="E1374" s="8">
        <f>IF(A1374="","",N(C1374)-N(D1374))</f>
        <v/>
      </c>
    </row>
    <row r="1375" spans="5:5">
      <c r="E1375" s="8">
        <f>IF(A1375="","",N(C1375)-N(D1375))</f>
        <v/>
      </c>
    </row>
    <row r="1376" spans="5:5">
      <c r="E1376" s="8">
        <f>IF(A1376="","",N(C1376)-N(D1376))</f>
        <v/>
      </c>
    </row>
    <row r="1377" spans="5:5">
      <c r="E1377" s="8">
        <f>IF(A1377="","",N(C1377)-N(D1377))</f>
        <v/>
      </c>
    </row>
    <row r="1378" spans="5:5">
      <c r="E1378" s="8">
        <f>IF(A1378="","",N(C1378)-N(D1378))</f>
        <v/>
      </c>
    </row>
    <row r="1379" spans="5:5">
      <c r="E1379" s="8">
        <f>IF(A1379="","",N(C1379)-N(D1379))</f>
        <v/>
      </c>
    </row>
    <row r="1380" spans="5:5">
      <c r="E1380" s="8">
        <f>IF(A1380="","",N(C1380)-N(D1380))</f>
        <v/>
      </c>
    </row>
    <row r="1381" spans="5:5">
      <c r="E1381" s="8">
        <f>IF(A1381="","",N(C1381)-N(D1381))</f>
        <v/>
      </c>
    </row>
    <row r="1382" spans="5:5">
      <c r="E1382" s="8">
        <f>IF(A1382="","",N(C1382)-N(D1382))</f>
        <v/>
      </c>
    </row>
    <row r="1383" spans="5:5">
      <c r="E1383" s="8">
        <f>IF(A1383="","",N(C1383)-N(D1383))</f>
        <v/>
      </c>
    </row>
    <row r="1384" spans="5:5">
      <c r="E1384" s="8">
        <f>IF(A1384="","",N(C1384)-N(D1384))</f>
        <v/>
      </c>
    </row>
    <row r="1385" spans="5:5">
      <c r="E1385" s="8">
        <f>IF(A1385="","",N(C1385)-N(D1385))</f>
        <v/>
      </c>
    </row>
    <row r="1386" spans="5:5">
      <c r="E1386" s="8">
        <f>IF(A1386="","",N(C1386)-N(D1386))</f>
        <v/>
      </c>
    </row>
    <row r="1387" spans="5:5">
      <c r="E1387" s="8">
        <f>IF(A1387="","",N(C1387)-N(D1387))</f>
        <v/>
      </c>
    </row>
    <row r="1388" spans="5:5">
      <c r="E1388" s="8">
        <f>IF(A1388="","",N(C1388)-N(D1388))</f>
        <v/>
      </c>
    </row>
    <row r="1389" spans="5:5">
      <c r="E1389" s="8">
        <f>IF(A1389="","",N(C1389)-N(D1389))</f>
        <v/>
      </c>
    </row>
    <row r="1390" spans="5:5">
      <c r="E1390" s="8">
        <f>IF(A1390="","",N(C1390)-N(D1390))</f>
        <v/>
      </c>
    </row>
    <row r="1391" spans="5:5">
      <c r="E1391" s="8">
        <f>IF(A1391="","",N(C1391)-N(D1391))</f>
        <v/>
      </c>
    </row>
    <row r="1392" spans="5:5">
      <c r="E1392" s="8">
        <f>IF(A1392="","",N(C1392)-N(D1392))</f>
        <v/>
      </c>
    </row>
    <row r="1393" spans="5:5">
      <c r="E1393" s="8">
        <f>IF(A1393="","",N(C1393)-N(D1393))</f>
        <v/>
      </c>
    </row>
    <row r="1394" spans="5:5">
      <c r="E1394" s="8">
        <f>IF(A1394="","",N(C1394)-N(D1394))</f>
        <v/>
      </c>
    </row>
    <row r="1395" spans="5:5">
      <c r="E1395" s="8">
        <f>IF(A1395="","",N(C1395)-N(D1395))</f>
        <v/>
      </c>
    </row>
    <row r="1396" spans="5:5">
      <c r="E1396" s="8">
        <f>IF(A1396="","",N(C1396)-N(D1396))</f>
        <v/>
      </c>
    </row>
    <row r="1397" spans="5:5">
      <c r="E1397" s="8">
        <f>IF(A1397="","",N(C1397)-N(D1397))</f>
        <v/>
      </c>
    </row>
    <row r="1398" spans="5:5">
      <c r="E1398" s="8">
        <f>IF(A1398="","",N(C1398)-N(D1398))</f>
        <v/>
      </c>
    </row>
    <row r="1399" spans="5:5">
      <c r="E1399" s="8">
        <f>IF(A1399="","",N(C1399)-N(D1399))</f>
        <v/>
      </c>
    </row>
    <row r="1400" spans="5:5">
      <c r="E1400" s="8">
        <f>IF(A1400="","",N(C1400)-N(D1400))</f>
        <v/>
      </c>
    </row>
    <row r="1401" spans="5:5">
      <c r="E1401" s="8">
        <f>IF(A1401="","",N(C1401)-N(D1401))</f>
        <v/>
      </c>
    </row>
    <row r="1402" spans="5:5">
      <c r="E1402" s="8">
        <f>IF(A1402="","",N(C1402)-N(D1402))</f>
        <v/>
      </c>
    </row>
    <row r="1403" spans="5:5">
      <c r="E1403" s="8">
        <f>IF(A1403="","",N(C1403)-N(D1403))</f>
        <v/>
      </c>
    </row>
    <row r="1404" spans="5:5">
      <c r="E1404" s="8">
        <f>IF(A1404="","",N(C1404)-N(D1404))</f>
        <v/>
      </c>
    </row>
    <row r="1405" spans="5:5">
      <c r="E1405" s="8">
        <f>IF(A1405="","",N(C1405)-N(D1405))</f>
        <v/>
      </c>
    </row>
    <row r="1406" spans="5:5">
      <c r="E1406" s="8">
        <f>IF(A1406="","",N(C1406)-N(D1406))</f>
        <v/>
      </c>
    </row>
    <row r="1407" spans="5:5">
      <c r="E1407" s="8">
        <f>IF(A1407="","",N(C1407)-N(D1407))</f>
        <v/>
      </c>
    </row>
    <row r="1408" spans="5:5">
      <c r="E1408" s="8">
        <f>IF(A1408="","",N(C1408)-N(D1408))</f>
        <v/>
      </c>
    </row>
    <row r="1409" spans="5:5">
      <c r="E1409" s="8">
        <f>IF(A1409="","",N(C1409)-N(D1409))</f>
        <v/>
      </c>
    </row>
    <row r="1410" spans="5:5">
      <c r="E1410" s="8">
        <f>IF(A1410="","",N(C1410)-N(D1410))</f>
        <v/>
      </c>
    </row>
    <row r="1411" spans="5:5">
      <c r="E1411" s="8">
        <f>IF(A1411="","",N(C1411)-N(D1411))</f>
        <v/>
      </c>
    </row>
    <row r="1412" spans="5:5">
      <c r="E1412" s="8">
        <f>IF(A1412="","",N(C1412)-N(D1412))</f>
        <v/>
      </c>
    </row>
    <row r="1413" spans="5:5">
      <c r="E1413" s="8">
        <f>IF(A1413="","",N(C1413)-N(D1413))</f>
        <v/>
      </c>
    </row>
    <row r="1414" spans="5:5">
      <c r="E1414" s="8">
        <f>IF(A1414="","",N(C1414)-N(D1414))</f>
        <v/>
      </c>
    </row>
    <row r="1415" spans="5:5">
      <c r="E1415" s="8">
        <f>IF(A1415="","",N(C1415)-N(D1415))</f>
        <v/>
      </c>
    </row>
    <row r="1416" spans="5:5">
      <c r="E1416" s="8">
        <f>IF(A1416="","",N(C1416)-N(D1416))</f>
        <v/>
      </c>
    </row>
    <row r="1417" spans="5:5">
      <c r="E1417" s="8">
        <f>IF(A1417="","",N(C1417)-N(D1417))</f>
        <v/>
      </c>
    </row>
    <row r="1418" spans="5:5">
      <c r="E1418" s="8">
        <f>IF(A1418="","",N(C1418)-N(D1418))</f>
        <v/>
      </c>
    </row>
    <row r="1419" spans="5:5">
      <c r="E1419" s="8">
        <f>IF(A1419="","",N(C1419)-N(D1419))</f>
        <v/>
      </c>
    </row>
    <row r="1420" spans="5:5">
      <c r="E1420" s="8">
        <f>IF(A1420="","",N(C1420)-N(D1420))</f>
        <v/>
      </c>
    </row>
    <row r="1421" spans="5:5">
      <c r="E1421" s="8">
        <f>IF(A1421="","",N(C1421)-N(D1421))</f>
        <v/>
      </c>
    </row>
    <row r="1422" spans="5:5">
      <c r="E1422" s="8">
        <f>IF(A1422="","",N(C1422)-N(D1422))</f>
        <v/>
      </c>
    </row>
    <row r="1423" spans="5:5">
      <c r="E1423" s="8">
        <f>IF(A1423="","",N(C1423)-N(D1423))</f>
        <v/>
      </c>
    </row>
    <row r="1424" spans="5:5">
      <c r="E1424" s="8">
        <f>IF(A1424="","",N(C1424)-N(D1424))</f>
        <v/>
      </c>
    </row>
    <row r="1425" spans="5:5">
      <c r="E1425" s="8">
        <f>IF(A1425="","",N(C1425)-N(D1425))</f>
        <v/>
      </c>
    </row>
    <row r="1426" spans="5:5">
      <c r="E1426" s="8">
        <f>IF(A1426="","",N(C1426)-N(D1426))</f>
        <v/>
      </c>
    </row>
    <row r="1427" spans="5:5">
      <c r="E1427" s="8">
        <f>IF(A1427="","",N(C1427)-N(D1427))</f>
        <v/>
      </c>
    </row>
    <row r="1428" spans="5:5">
      <c r="E1428" s="8">
        <f>IF(A1428="","",N(C1428)-N(D1428))</f>
        <v/>
      </c>
    </row>
    <row r="1429" spans="5:5">
      <c r="E1429" s="8">
        <f>IF(A1429="","",N(C1429)-N(D1429))</f>
        <v/>
      </c>
    </row>
    <row r="1430" spans="5:5">
      <c r="E1430" s="8">
        <f>IF(A1430="","",N(C1430)-N(D1430))</f>
        <v/>
      </c>
    </row>
    <row r="1431" spans="5:5">
      <c r="E1431" s="8">
        <f>IF(A1431="","",N(C1431)-N(D1431))</f>
        <v/>
      </c>
    </row>
    <row r="1432" spans="5:5">
      <c r="E1432" s="8">
        <f>IF(A1432="","",N(C1432)-N(D1432))</f>
        <v/>
      </c>
    </row>
    <row r="1433" spans="5:5">
      <c r="E1433" s="8">
        <f>IF(A1433="","",N(C1433)-N(D1433))</f>
        <v/>
      </c>
    </row>
    <row r="1434" spans="5:5">
      <c r="E1434" s="8">
        <f>IF(A1434="","",N(C1434)-N(D1434))</f>
        <v/>
      </c>
    </row>
    <row r="1435" spans="5:5">
      <c r="E1435" s="8">
        <f>IF(A1435="","",N(C1435)-N(D1435))</f>
        <v/>
      </c>
    </row>
    <row r="1436" spans="5:5">
      <c r="E1436" s="8">
        <f>IF(A1436="","",N(C1436)-N(D1436))</f>
        <v/>
      </c>
    </row>
    <row r="1437" spans="5:5">
      <c r="E1437" s="8">
        <f>IF(A1437="","",N(C1437)-N(D1437))</f>
        <v/>
      </c>
    </row>
    <row r="1438" spans="5:5">
      <c r="E1438" s="8">
        <f>IF(A1438="","",N(C1438)-N(D1438))</f>
        <v/>
      </c>
    </row>
    <row r="1439" spans="5:5">
      <c r="E1439" s="8">
        <f>IF(A1439="","",N(C1439)-N(D1439))</f>
        <v/>
      </c>
    </row>
    <row r="1440" spans="5:5">
      <c r="E1440" s="8">
        <f>IF(A1440="","",N(C1440)-N(D1440))</f>
        <v/>
      </c>
    </row>
    <row r="1441" spans="5:5">
      <c r="E1441" s="8">
        <f>IF(A1441="","",N(C1441)-N(D1441))</f>
        <v/>
      </c>
    </row>
    <row r="1442" spans="5:5">
      <c r="E1442" s="8">
        <f>IF(A1442="","",N(C1442)-N(D1442))</f>
        <v/>
      </c>
    </row>
    <row r="1443" spans="5:5">
      <c r="E1443" s="8">
        <f>IF(A1443="","",N(C1443)-N(D1443))</f>
        <v/>
      </c>
    </row>
    <row r="1444" spans="5:5">
      <c r="E1444" s="8">
        <f>IF(A1444="","",N(C1444)-N(D1444))</f>
        <v/>
      </c>
    </row>
    <row r="1445" spans="5:5">
      <c r="E1445" s="8">
        <f>IF(A1445="","",N(C1445)-N(D1445))</f>
        <v/>
      </c>
    </row>
    <row r="1446" spans="5:5">
      <c r="E1446" s="8">
        <f>IF(A1446="","",N(C1446)-N(D1446))</f>
        <v/>
      </c>
    </row>
    <row r="1447" spans="5:5">
      <c r="E1447" s="8">
        <f>IF(A1447="","",N(C1447)-N(D1447))</f>
        <v/>
      </c>
    </row>
    <row r="1448" spans="5:5">
      <c r="E1448" s="8">
        <f>IF(A1448="","",N(C1448)-N(D1448))</f>
        <v/>
      </c>
    </row>
    <row r="1449" spans="5:5">
      <c r="E1449" s="8">
        <f>IF(A1449="","",N(C1449)-N(D1449))</f>
        <v/>
      </c>
    </row>
    <row r="1450" spans="5:5">
      <c r="E1450" s="8">
        <f>IF(A1450="","",N(C1450)-N(D1450))</f>
        <v/>
      </c>
    </row>
    <row r="1451" spans="5:5">
      <c r="E1451" s="8">
        <f>IF(A1451="","",N(C1451)-N(D1451))</f>
        <v/>
      </c>
    </row>
    <row r="1452" spans="5:5">
      <c r="E1452" s="8">
        <f>IF(A1452="","",N(C1452)-N(D1452))</f>
        <v/>
      </c>
    </row>
    <row r="1453" spans="5:5">
      <c r="E1453" s="8">
        <f>IF(A1453="","",N(C1453)-N(D1453))</f>
        <v/>
      </c>
    </row>
    <row r="1454" spans="5:5">
      <c r="E1454" s="8">
        <f>IF(A1454="","",N(C1454)-N(D1454))</f>
        <v/>
      </c>
    </row>
    <row r="1455" spans="5:5">
      <c r="E1455" s="8">
        <f>IF(A1455="","",N(C1455)-N(D1455))</f>
        <v/>
      </c>
    </row>
    <row r="1456" spans="5:5">
      <c r="E1456" s="8">
        <f>IF(A1456="","",N(C1456)-N(D1456))</f>
        <v/>
      </c>
    </row>
    <row r="1457" spans="5:5">
      <c r="E1457" s="8">
        <f>IF(A1457="","",N(C1457)-N(D1457))</f>
        <v/>
      </c>
    </row>
    <row r="1458" spans="5:5">
      <c r="E1458" s="8">
        <f>IF(A1458="","",N(C1458)-N(D1458))</f>
        <v/>
      </c>
    </row>
    <row r="1459" spans="5:5">
      <c r="E1459" s="8">
        <f>IF(A1459="","",N(C1459)-N(D1459))</f>
        <v/>
      </c>
    </row>
    <row r="1460" spans="5:5">
      <c r="E1460" s="8">
        <f>IF(A1460="","",N(C1460)-N(D1460))</f>
        <v/>
      </c>
    </row>
    <row r="1461" spans="5:5">
      <c r="E1461" s="8">
        <f>IF(A1461="","",N(C1461)-N(D1461))</f>
        <v/>
      </c>
    </row>
    <row r="1462" spans="5:5">
      <c r="E1462" s="8">
        <f>IF(A1462="","",N(C1462)-N(D1462))</f>
        <v/>
      </c>
    </row>
    <row r="1463" spans="5:5">
      <c r="E1463" s="8">
        <f>IF(A1463="","",N(C1463)-N(D1463))</f>
        <v/>
      </c>
    </row>
    <row r="1464" spans="5:5">
      <c r="E1464" s="8">
        <f>IF(A1464="","",N(C1464)-N(D1464))</f>
        <v/>
      </c>
    </row>
    <row r="1465" spans="5:5">
      <c r="E1465" s="8">
        <f>IF(A1465="","",N(C1465)-N(D1465))</f>
        <v/>
      </c>
    </row>
    <row r="1466" spans="5:5">
      <c r="E1466" s="8">
        <f>IF(A1466="","",N(C1466)-N(D1466))</f>
        <v/>
      </c>
    </row>
    <row r="1467" spans="5:5">
      <c r="E1467" s="8">
        <f>IF(A1467="","",N(C1467)-N(D1467))</f>
        <v/>
      </c>
    </row>
    <row r="1468" spans="5:5">
      <c r="E1468" s="8">
        <f>IF(A1468="","",N(C1468)-N(D1468))</f>
        <v/>
      </c>
    </row>
    <row r="1469" spans="5:5">
      <c r="E1469" s="8">
        <f>IF(A1469="","",N(C1469)-N(D1469))</f>
        <v/>
      </c>
    </row>
    <row r="1470" spans="5:5">
      <c r="E1470" s="8">
        <f>IF(A1470="","",N(C1470)-N(D1470))</f>
        <v/>
      </c>
    </row>
    <row r="1471" spans="5:5">
      <c r="E1471" s="8">
        <f>IF(A1471="","",N(C1471)-N(D1471))</f>
        <v/>
      </c>
    </row>
    <row r="1472" spans="5:5">
      <c r="E1472" s="8">
        <f>IF(A1472="","",N(C1472)-N(D1472))</f>
        <v/>
      </c>
    </row>
    <row r="1473" spans="5:5">
      <c r="E1473" s="8">
        <f>IF(A1473="","",N(C1473)-N(D1473))</f>
        <v/>
      </c>
    </row>
    <row r="1474" spans="5:5">
      <c r="E1474" s="8">
        <f>IF(A1474="","",N(C1474)-N(D1474))</f>
        <v/>
      </c>
    </row>
    <row r="1475" spans="5:5">
      <c r="E1475" s="8">
        <f>IF(A1475="","",N(C1475)-N(D1475))</f>
        <v/>
      </c>
    </row>
    <row r="1476" spans="5:5">
      <c r="E1476" s="8">
        <f>IF(A1476="","",N(C1476)-N(D1476))</f>
        <v/>
      </c>
    </row>
    <row r="1477" spans="5:5">
      <c r="E1477" s="8">
        <f>IF(A1477="","",N(C1477)-N(D1477))</f>
        <v/>
      </c>
    </row>
    <row r="1478" spans="5:5">
      <c r="E1478" s="8">
        <f>IF(A1478="","",N(C1478)-N(D1478))</f>
        <v/>
      </c>
    </row>
    <row r="1479" spans="5:5">
      <c r="E1479" s="8">
        <f>IF(A1479="","",N(C1479)-N(D1479))</f>
        <v/>
      </c>
    </row>
    <row r="1480" spans="5:5">
      <c r="E1480" s="8">
        <f>IF(A1480="","",N(C1480)-N(D1480))</f>
        <v/>
      </c>
    </row>
    <row r="1481" spans="5:5">
      <c r="E1481" s="8">
        <f>IF(A1481="","",N(C1481)-N(D1481))</f>
        <v/>
      </c>
    </row>
    <row r="1482" spans="5:5">
      <c r="E1482" s="8">
        <f>IF(A1482="","",N(C1482)-N(D1482))</f>
        <v/>
      </c>
    </row>
    <row r="1483" spans="5:5">
      <c r="E1483" s="8">
        <f>IF(A1483="","",N(C1483)-N(D1483))</f>
        <v/>
      </c>
    </row>
    <row r="1484" spans="5:5">
      <c r="E1484" s="8">
        <f>IF(A1484="","",N(C1484)-N(D1484))</f>
        <v/>
      </c>
    </row>
    <row r="1485" spans="5:5">
      <c r="E1485" s="8">
        <f>IF(A1485="","",N(C1485)-N(D1485))</f>
        <v/>
      </c>
    </row>
    <row r="1486" spans="5:5">
      <c r="E1486" s="8">
        <f>IF(A1486="","",N(C1486)-N(D1486))</f>
        <v/>
      </c>
    </row>
    <row r="1487" spans="5:5">
      <c r="E1487" s="8">
        <f>IF(A1487="","",N(C1487)-N(D1487))</f>
        <v/>
      </c>
    </row>
    <row r="1488" spans="5:5">
      <c r="E1488" s="8">
        <f>IF(A1488="","",N(C1488)-N(D1488))</f>
        <v/>
      </c>
    </row>
    <row r="1489" spans="5:5">
      <c r="E1489" s="8">
        <f>IF(A1489="","",N(C1489)-N(D1489))</f>
        <v/>
      </c>
    </row>
    <row r="1490" spans="5:5">
      <c r="E1490" s="8">
        <f>IF(A1490="","",N(C1490)-N(D1490))</f>
        <v/>
      </c>
    </row>
    <row r="1491" spans="5:5">
      <c r="E1491" s="8">
        <f>IF(A1491="","",N(C1491)-N(D1491))</f>
        <v/>
      </c>
    </row>
    <row r="1492" spans="5:5">
      <c r="E1492" s="8">
        <f>IF(A1492="","",N(C1492)-N(D1492))</f>
        <v/>
      </c>
    </row>
    <row r="1493" spans="5:5">
      <c r="E1493" s="8">
        <f>IF(A1493="","",N(C1493)-N(D1493))</f>
        <v/>
      </c>
    </row>
    <row r="1494" spans="5:5">
      <c r="E1494" s="8">
        <f>IF(A1494="","",N(C1494)-N(D1494))</f>
        <v/>
      </c>
    </row>
    <row r="1495" spans="5:5">
      <c r="E1495" s="8">
        <f>IF(A1495="","",N(C1495)-N(D1495))</f>
        <v/>
      </c>
    </row>
    <row r="1496" spans="5:5">
      <c r="E1496" s="8">
        <f>IF(A1496="","",N(C1496)-N(D1496))</f>
        <v/>
      </c>
    </row>
    <row r="1497" spans="5:5">
      <c r="E1497" s="8">
        <f>IF(A1497="","",N(C1497)-N(D1497))</f>
        <v/>
      </c>
    </row>
    <row r="1498" spans="5:5">
      <c r="E1498" s="8">
        <f>IF(A1498="","",N(C1498)-N(D1498))</f>
        <v/>
      </c>
    </row>
    <row r="1499" spans="5:5">
      <c r="E1499" s="8">
        <f>IF(A1499="","",N(C1499)-N(D1499))</f>
        <v/>
      </c>
    </row>
    <row r="1500" spans="5:5">
      <c r="E1500" s="8">
        <f>IF(A1500="","",N(C1500)-N(D1500))</f>
        <v/>
      </c>
    </row>
    <row r="1501" spans="5:5">
      <c r="E1501" s="8">
        <f>IF(A1501="","",N(C1501)-N(D1501))</f>
        <v/>
      </c>
    </row>
    <row r="1502" spans="5:5">
      <c r="E1502" s="8">
        <f>IF(A1502="","",N(C1502)-N(D1502))</f>
        <v/>
      </c>
    </row>
    <row r="1503" spans="5:5">
      <c r="E1503" s="8">
        <f>IF(A1503="","",N(C1503)-N(D1503))</f>
        <v/>
      </c>
    </row>
    <row r="1504" spans="5:5">
      <c r="E1504" s="8">
        <f>IF(A1504="","",N(C1504)-N(D1504))</f>
        <v/>
      </c>
    </row>
    <row r="1505" spans="5:5">
      <c r="E1505" s="8">
        <f>IF(A1505="","",N(C1505)-N(D1505))</f>
        <v/>
      </c>
    </row>
    <row r="1506" spans="5:5">
      <c r="E1506" s="8">
        <f>IF(A1506="","",N(C1506)-N(D1506))</f>
        <v/>
      </c>
    </row>
    <row r="1507" spans="5:5">
      <c r="E1507" s="8">
        <f>IF(A1507="","",N(C1507)-N(D1507))</f>
        <v/>
      </c>
    </row>
    <row r="1508" spans="5:5">
      <c r="E1508" s="8">
        <f>IF(A1508="","",N(C1508)-N(D1508))</f>
        <v/>
      </c>
    </row>
    <row r="1509" spans="5:5">
      <c r="E1509" s="8">
        <f>IF(A1509="","",N(C1509)-N(D1509))</f>
        <v/>
      </c>
    </row>
    <row r="1510" spans="5:5">
      <c r="E1510" s="8">
        <f>IF(A1510="","",N(C1510)-N(D1510))</f>
        <v/>
      </c>
    </row>
    <row r="1511" spans="5:5">
      <c r="E1511" s="8">
        <f>IF(A1511="","",N(C1511)-N(D1511))</f>
        <v/>
      </c>
    </row>
    <row r="1512" spans="5:5">
      <c r="E1512" s="8">
        <f>IF(A1512="","",N(C1512)-N(D1512))</f>
        <v/>
      </c>
    </row>
    <row r="1513" spans="5:5">
      <c r="E1513" s="8">
        <f>IF(A1513="","",N(C1513)-N(D1513))</f>
        <v/>
      </c>
    </row>
    <row r="1514" spans="5:5">
      <c r="E1514" s="8">
        <f>IF(A1514="","",N(C1514)-N(D1514))</f>
        <v/>
      </c>
    </row>
    <row r="1515" spans="5:5">
      <c r="E1515" s="8">
        <f>IF(A1515="","",N(C1515)-N(D1515))</f>
        <v/>
      </c>
    </row>
    <row r="1516" spans="5:5">
      <c r="E1516" s="8">
        <f>IF(A1516="","",N(C1516)-N(D1516))</f>
        <v/>
      </c>
    </row>
    <row r="1517" spans="5:5">
      <c r="E1517" s="8">
        <f>IF(A1517="","",N(C1517)-N(D1517))</f>
        <v/>
      </c>
    </row>
    <row r="1518" spans="5:5">
      <c r="E1518" s="8">
        <f>IF(A1518="","",N(C1518)-N(D1518))</f>
        <v/>
      </c>
    </row>
    <row r="1519" spans="5:5">
      <c r="E1519" s="8">
        <f>IF(A1519="","",N(C1519)-N(D1519))</f>
        <v/>
      </c>
    </row>
    <row r="1520" spans="5:5">
      <c r="E1520" s="8">
        <f>IF(A1520="","",N(C1520)-N(D1520))</f>
        <v/>
      </c>
    </row>
    <row r="1521" spans="5:5">
      <c r="E1521" s="8">
        <f>IF(A1521="","",N(C1521)-N(D1521))</f>
        <v/>
      </c>
    </row>
    <row r="1522" spans="5:5">
      <c r="E1522" s="8">
        <f>IF(A1522="","",N(C1522)-N(D1522))</f>
        <v/>
      </c>
    </row>
    <row r="1523" spans="5:5">
      <c r="E1523" s="8">
        <f>IF(A1523="","",N(C1523)-N(D1523))</f>
        <v/>
      </c>
    </row>
    <row r="1524" spans="5:5">
      <c r="E1524" s="8">
        <f>IF(A1524="","",N(C1524)-N(D1524))</f>
        <v/>
      </c>
    </row>
    <row r="1525" spans="5:5">
      <c r="E1525" s="8">
        <f>IF(A1525="","",N(C1525)-N(D1525))</f>
        <v/>
      </c>
    </row>
    <row r="1526" spans="5:5">
      <c r="E1526" s="8">
        <f>IF(A1526="","",N(C1526)-N(D1526))</f>
        <v/>
      </c>
    </row>
    <row r="1527" spans="5:5">
      <c r="E1527" s="8">
        <f>IF(A1527="","",N(C1527)-N(D1527))</f>
        <v/>
      </c>
    </row>
    <row r="1528" spans="5:5">
      <c r="E1528" s="8">
        <f>IF(A1528="","",N(C1528)-N(D1528))</f>
        <v/>
      </c>
    </row>
    <row r="1529" spans="5:5">
      <c r="E1529" s="8">
        <f>IF(A1529="","",N(C1529)-N(D1529))</f>
        <v/>
      </c>
    </row>
    <row r="1530" spans="5:5">
      <c r="E1530" s="8">
        <f>IF(A1530="","",N(C1530)-N(D1530))</f>
        <v/>
      </c>
    </row>
    <row r="1531" spans="5:5">
      <c r="E1531" s="8">
        <f>IF(A1531="","",N(C1531)-N(D1531))</f>
        <v/>
      </c>
    </row>
    <row r="1532" spans="5:5">
      <c r="E1532" s="8">
        <f>IF(A1532="","",N(C1532)-N(D1532))</f>
        <v/>
      </c>
    </row>
    <row r="1533" spans="5:5">
      <c r="E1533" s="8">
        <f>IF(A1533="","",N(C1533)-N(D1533))</f>
        <v/>
      </c>
    </row>
    <row r="1534" spans="5:5">
      <c r="E1534" s="8">
        <f>IF(A1534="","",N(C1534)-N(D1534))</f>
        <v/>
      </c>
    </row>
    <row r="1535" spans="5:5">
      <c r="E1535" s="8">
        <f>IF(A1535="","",N(C1535)-N(D1535))</f>
        <v/>
      </c>
    </row>
    <row r="1536" spans="5:5">
      <c r="E1536" s="8">
        <f>IF(A1536="","",N(C1536)-N(D1536))</f>
        <v/>
      </c>
    </row>
    <row r="1537" spans="5:5">
      <c r="E1537" s="8">
        <f>IF(A1537="","",N(C1537)-N(D1537))</f>
        <v/>
      </c>
    </row>
    <row r="1538" spans="5:5">
      <c r="E1538" s="8">
        <f>IF(A1538="","",N(C1538)-N(D1538))</f>
        <v/>
      </c>
    </row>
    <row r="1539" spans="5:5">
      <c r="E1539" s="8">
        <f>IF(A1539="","",N(C1539)-N(D1539))</f>
        <v/>
      </c>
    </row>
    <row r="1540" spans="5:5">
      <c r="E1540" s="8">
        <f>IF(A1540="","",N(C1540)-N(D1540))</f>
        <v/>
      </c>
    </row>
    <row r="1541" spans="5:5">
      <c r="E1541" s="8">
        <f>IF(A1541="","",N(C1541)-N(D1541))</f>
        <v/>
      </c>
    </row>
    <row r="1542" spans="5:5">
      <c r="E1542" s="8">
        <f>IF(A1542="","",N(C1542)-N(D1542))</f>
        <v/>
      </c>
    </row>
    <row r="1543" spans="5:5">
      <c r="E1543" s="8">
        <f>IF(A1543="","",N(C1543)-N(D1543))</f>
        <v/>
      </c>
    </row>
    <row r="1544" spans="5:5">
      <c r="E1544" s="8">
        <f>IF(A1544="","",N(C1544)-N(D1544))</f>
        <v/>
      </c>
    </row>
    <row r="1545" spans="5:5">
      <c r="E1545" s="8">
        <f>IF(A1545="","",N(C1545)-N(D1545))</f>
        <v/>
      </c>
    </row>
    <row r="1546" spans="5:5">
      <c r="E1546" s="8">
        <f>IF(A1546="","",N(C1546)-N(D1546))</f>
        <v/>
      </c>
    </row>
    <row r="1547" spans="5:5">
      <c r="E1547" s="8">
        <f>IF(A1547="","",N(C1547)-N(D1547))</f>
        <v/>
      </c>
    </row>
    <row r="1548" spans="5:5">
      <c r="E1548" s="8">
        <f>IF(A1548="","",N(C1548)-N(D1548))</f>
        <v/>
      </c>
    </row>
    <row r="1549" spans="5:5">
      <c r="E1549" s="8">
        <f>IF(A1549="","",N(C1549)-N(D1549))</f>
        <v/>
      </c>
    </row>
    <row r="1550" spans="5:5">
      <c r="E1550" s="8">
        <f>IF(A1550="","",N(C1550)-N(D1550))</f>
        <v/>
      </c>
    </row>
    <row r="1551" spans="5:5">
      <c r="E1551" s="8">
        <f>IF(A1551="","",N(C1551)-N(D1551))</f>
        <v/>
      </c>
    </row>
    <row r="1552" spans="5:5">
      <c r="E1552" s="8">
        <f>IF(A1552="","",N(C1552)-N(D1552))</f>
        <v/>
      </c>
    </row>
    <row r="1553" spans="5:5">
      <c r="E1553" s="8">
        <f>IF(A1553="","",N(C1553)-N(D1553))</f>
        <v/>
      </c>
    </row>
    <row r="1554" spans="5:5">
      <c r="E1554" s="8">
        <f>IF(A1554="","",N(C1554)-N(D1554))</f>
        <v/>
      </c>
    </row>
    <row r="1555" spans="5:5">
      <c r="E1555" s="8">
        <f>IF(A1555="","",N(C1555)-N(D1555))</f>
        <v/>
      </c>
    </row>
    <row r="1556" spans="5:5">
      <c r="E1556" s="8">
        <f>IF(A1556="","",N(C1556)-N(D1556))</f>
        <v/>
      </c>
    </row>
    <row r="1557" spans="5:5">
      <c r="E1557" s="8">
        <f>IF(A1557="","",N(C1557)-N(D1557))</f>
        <v/>
      </c>
    </row>
    <row r="1558" spans="5:5">
      <c r="E1558" s="8">
        <f>IF(A1558="","",N(C1558)-N(D1558))</f>
        <v/>
      </c>
    </row>
    <row r="1559" spans="5:5">
      <c r="E1559" s="8">
        <f>IF(A1559="","",N(C1559)-N(D1559))</f>
        <v/>
      </c>
    </row>
    <row r="1560" spans="5:5">
      <c r="E1560" s="8">
        <f>IF(A1560="","",N(C1560)-N(D1560))</f>
        <v/>
      </c>
    </row>
    <row r="1561" spans="5:5">
      <c r="E1561" s="8">
        <f>IF(A1561="","",N(C1561)-N(D1561))</f>
        <v/>
      </c>
    </row>
    <row r="1562" spans="5:5">
      <c r="E1562" s="8">
        <f>IF(A1562="","",N(C1562)-N(D1562))</f>
        <v/>
      </c>
    </row>
    <row r="1563" spans="5:5">
      <c r="E1563" s="8">
        <f>IF(A1563="","",N(C1563)-N(D1563))</f>
        <v/>
      </c>
    </row>
    <row r="1564" spans="5:5">
      <c r="E1564" s="8">
        <f>IF(A1564="","",N(C1564)-N(D1564))</f>
        <v/>
      </c>
    </row>
    <row r="1565" spans="5:5">
      <c r="E1565" s="8">
        <f>IF(A1565="","",N(C1565)-N(D1565))</f>
        <v/>
      </c>
    </row>
    <row r="1566" spans="5:5">
      <c r="E1566" s="8">
        <f>IF(A1566="","",N(C1566)-N(D1566))</f>
        <v/>
      </c>
    </row>
    <row r="1567" spans="5:5">
      <c r="E1567" s="8">
        <f>IF(A1567="","",N(C1567)-N(D1567))</f>
        <v/>
      </c>
    </row>
    <row r="1568" spans="5:5">
      <c r="E1568" s="8">
        <f>IF(A1568="","",N(C1568)-N(D1568))</f>
        <v/>
      </c>
    </row>
    <row r="1569" spans="5:5">
      <c r="E1569" s="8">
        <f>IF(A1569="","",N(C1569)-N(D1569))</f>
        <v/>
      </c>
    </row>
    <row r="1570" spans="5:5">
      <c r="E1570" s="8">
        <f>IF(A1570="","",N(C1570)-N(D1570))</f>
        <v/>
      </c>
    </row>
    <row r="1571" spans="5:5">
      <c r="E1571" s="8">
        <f>IF(A1571="","",N(C1571)-N(D1571))</f>
        <v/>
      </c>
    </row>
    <row r="1572" spans="5:5">
      <c r="E1572" s="8">
        <f>IF(A1572="","",N(C1572)-N(D1572))</f>
        <v/>
      </c>
    </row>
    <row r="1573" spans="5:5">
      <c r="E1573" s="8">
        <f>IF(A1573="","",N(C1573)-N(D1573))</f>
        <v/>
      </c>
    </row>
    <row r="1574" spans="5:5">
      <c r="E1574" s="8">
        <f>IF(A1574="","",N(C1574)-N(D1574))</f>
        <v/>
      </c>
    </row>
    <row r="1575" spans="5:5">
      <c r="E1575" s="8">
        <f>IF(A1575="","",N(C1575)-N(D1575))</f>
        <v/>
      </c>
    </row>
    <row r="1576" spans="5:5">
      <c r="E1576" s="8">
        <f>IF(A1576="","",N(C1576)-N(D1576))</f>
        <v/>
      </c>
    </row>
    <row r="1577" spans="5:5">
      <c r="E1577" s="8">
        <f>IF(A1577="","",N(C1577)-N(D1577))</f>
        <v/>
      </c>
    </row>
    <row r="1578" spans="5:5">
      <c r="E1578" s="8">
        <f>IF(A1578="","",N(C1578)-N(D1578))</f>
        <v/>
      </c>
    </row>
    <row r="1579" spans="5:5">
      <c r="E1579" s="8">
        <f>IF(A1579="","",N(C1579)-N(D1579))</f>
        <v/>
      </c>
    </row>
    <row r="1580" spans="5:5">
      <c r="E1580" s="8">
        <f>IF(A1580="","",N(C1580)-N(D1580))</f>
        <v/>
      </c>
    </row>
    <row r="1581" spans="5:5">
      <c r="E1581" s="8">
        <f>IF(A1581="","",N(C1581)-N(D1581))</f>
        <v/>
      </c>
    </row>
    <row r="1582" spans="5:5">
      <c r="E1582" s="8">
        <f>IF(A1582="","",N(C1582)-N(D1582))</f>
        <v/>
      </c>
    </row>
    <row r="1583" spans="5:5">
      <c r="E1583" s="8">
        <f>IF(A1583="","",N(C1583)-N(D1583))</f>
        <v/>
      </c>
    </row>
    <row r="1584" spans="5:5">
      <c r="E1584" s="8">
        <f>IF(A1584="","",N(C1584)-N(D1584))</f>
        <v/>
      </c>
    </row>
    <row r="1585" spans="5:5">
      <c r="E1585" s="8">
        <f>IF(A1585="","",N(C1585)-N(D1585))</f>
        <v/>
      </c>
    </row>
    <row r="1586" spans="5:5">
      <c r="E1586" s="8">
        <f>IF(A1586="","",N(C1586)-N(D1586))</f>
        <v/>
      </c>
    </row>
    <row r="1587" spans="5:5">
      <c r="E1587" s="8">
        <f>IF(A1587="","",N(C1587)-N(D1587))</f>
        <v/>
      </c>
    </row>
    <row r="1588" spans="5:5">
      <c r="E1588" s="8">
        <f>IF(A1588="","",N(C1588)-N(D1588))</f>
        <v/>
      </c>
    </row>
    <row r="1589" spans="5:5">
      <c r="E1589" s="8">
        <f>IF(A1589="","",N(C1589)-N(D1589))</f>
        <v/>
      </c>
    </row>
    <row r="1590" spans="5:5">
      <c r="E1590" s="8">
        <f>IF(A1590="","",N(C1590)-N(D1590))</f>
        <v/>
      </c>
    </row>
    <row r="1591" spans="5:5">
      <c r="E1591" s="8">
        <f>IF(A1591="","",N(C1591)-N(D1591))</f>
        <v/>
      </c>
    </row>
    <row r="1592" spans="5:5">
      <c r="E1592" s="8">
        <f>IF(A1592="","",N(C1592)-N(D1592))</f>
        <v/>
      </c>
    </row>
    <row r="1593" spans="5:5">
      <c r="E1593" s="8">
        <f>IF(A1593="","",N(C1593)-N(D1593))</f>
        <v/>
      </c>
    </row>
    <row r="1594" spans="5:5">
      <c r="E1594" s="8">
        <f>IF(A1594="","",N(C1594)-N(D1594))</f>
        <v/>
      </c>
    </row>
    <row r="1595" spans="5:5">
      <c r="E1595" s="8">
        <f>IF(A1595="","",N(C1595)-N(D1595))</f>
        <v/>
      </c>
    </row>
    <row r="1596" spans="5:5">
      <c r="E1596" s="8">
        <f>IF(A1596="","",N(C1596)-N(D1596))</f>
        <v/>
      </c>
    </row>
    <row r="1597" spans="5:5">
      <c r="E1597" s="8">
        <f>IF(A1597="","",N(C1597)-N(D1597))</f>
        <v/>
      </c>
    </row>
    <row r="1598" spans="5:5">
      <c r="E1598" s="8">
        <f>IF(A1598="","",N(C1598)-N(D1598))</f>
        <v/>
      </c>
    </row>
    <row r="1599" spans="5:5">
      <c r="E1599" s="8">
        <f>IF(A1599="","",N(C1599)-N(D1599))</f>
        <v/>
      </c>
    </row>
    <row r="1600" spans="5:5">
      <c r="E1600" s="8">
        <f>IF(A1600="","",N(C1600)-N(D1600))</f>
        <v/>
      </c>
    </row>
    <row r="1601" spans="5:5">
      <c r="E1601" s="8">
        <f>IF(A1601="","",N(C1601)-N(D1601))</f>
        <v/>
      </c>
    </row>
    <row r="1602" spans="5:5">
      <c r="E1602" s="8">
        <f>IF(A1602="","",N(C1602)-N(D1602))</f>
        <v/>
      </c>
    </row>
    <row r="1603" spans="5:5">
      <c r="E1603" s="8">
        <f>IF(A1603="","",N(C1603)-N(D1603))</f>
        <v/>
      </c>
    </row>
    <row r="1604" spans="5:5">
      <c r="E1604" s="8">
        <f>IF(A1604="","",N(C1604)-N(D1604))</f>
        <v/>
      </c>
    </row>
    <row r="1605" spans="5:5">
      <c r="E1605" s="8">
        <f>IF(A1605="","",N(C1605)-N(D1605))</f>
        <v/>
      </c>
    </row>
    <row r="1606" spans="5:5">
      <c r="E1606" s="8">
        <f>IF(A1606="","",N(C1606)-N(D1606))</f>
        <v/>
      </c>
    </row>
    <row r="1607" spans="5:5">
      <c r="E1607" s="8">
        <f>IF(A1607="","",N(C1607)-N(D1607))</f>
        <v/>
      </c>
    </row>
    <row r="1608" spans="5:5">
      <c r="E1608" s="8">
        <f>IF(A1608="","",N(C1608)-N(D1608))</f>
        <v/>
      </c>
    </row>
    <row r="1609" spans="5:5">
      <c r="E1609" s="8">
        <f>IF(A1609="","",N(C1609)-N(D1609))</f>
        <v/>
      </c>
    </row>
    <row r="1610" spans="5:5">
      <c r="E1610" s="8">
        <f>IF(A1610="","",N(C1610)-N(D1610))</f>
        <v/>
      </c>
    </row>
    <row r="1611" spans="5:5">
      <c r="E1611" s="8">
        <f>IF(A1611="","",N(C1611)-N(D1611))</f>
        <v/>
      </c>
    </row>
    <row r="1612" spans="5:5">
      <c r="E1612" s="8">
        <f>IF(A1612="","",N(C1612)-N(D1612))</f>
        <v/>
      </c>
    </row>
    <row r="1613" spans="5:5">
      <c r="E1613" s="8">
        <f>IF(A1613="","",N(C1613)-N(D1613))</f>
        <v/>
      </c>
    </row>
    <row r="1614" spans="5:5">
      <c r="E1614" s="8">
        <f>IF(A1614="","",N(C1614)-N(D1614))</f>
        <v/>
      </c>
    </row>
    <row r="1615" spans="5:5">
      <c r="E1615" s="8">
        <f>IF(A1615="","",N(C1615)-N(D1615))</f>
        <v/>
      </c>
    </row>
    <row r="1616" spans="5:5">
      <c r="E1616" s="8">
        <f>IF(A1616="","",N(C1616)-N(D1616))</f>
        <v/>
      </c>
    </row>
    <row r="1617" spans="5:5">
      <c r="E1617" s="8">
        <f>IF(A1617="","",N(C1617)-N(D1617))</f>
        <v/>
      </c>
    </row>
    <row r="1618" spans="5:5">
      <c r="E1618" s="8">
        <f>IF(A1618="","",N(C1618)-N(D1618))</f>
        <v/>
      </c>
    </row>
    <row r="1619" spans="5:5">
      <c r="E1619" s="8">
        <f>IF(A1619="","",N(C1619)-N(D1619))</f>
        <v/>
      </c>
    </row>
    <row r="1620" spans="5:5">
      <c r="E1620" s="8">
        <f>IF(A1620="","",N(C1620)-N(D1620))</f>
        <v/>
      </c>
    </row>
    <row r="1621" spans="5:5">
      <c r="E1621" s="8">
        <f>IF(A1621="","",N(C1621)-N(D1621))</f>
        <v/>
      </c>
    </row>
    <row r="1622" spans="5:5">
      <c r="E1622" s="8">
        <f>IF(A1622="","",N(C1622)-N(D1622))</f>
        <v/>
      </c>
    </row>
    <row r="1623" spans="5:5">
      <c r="E1623" s="8">
        <f>IF(A1623="","",N(C1623)-N(D1623))</f>
        <v/>
      </c>
    </row>
    <row r="1624" spans="5:5">
      <c r="E1624" s="8">
        <f>IF(A1624="","",N(C1624)-N(D1624))</f>
        <v/>
      </c>
    </row>
    <row r="1625" spans="5:5">
      <c r="E1625" s="8">
        <f>IF(A1625="","",N(C1625)-N(D1625))</f>
        <v/>
      </c>
    </row>
    <row r="1626" spans="5:5">
      <c r="E1626" s="8">
        <f>IF(A1626="","",N(C1626)-N(D1626))</f>
        <v/>
      </c>
    </row>
    <row r="1627" spans="5:5">
      <c r="E1627" s="8">
        <f>IF(A1627="","",N(C1627)-N(D1627))</f>
        <v/>
      </c>
    </row>
    <row r="1628" spans="5:5">
      <c r="E1628" s="8">
        <f>IF(A1628="","",N(C1628)-N(D1628))</f>
        <v/>
      </c>
    </row>
    <row r="1629" spans="5:5">
      <c r="E1629" s="8">
        <f>IF(A1629="","",N(C1629)-N(D1629))</f>
        <v/>
      </c>
    </row>
    <row r="1630" spans="5:5">
      <c r="E1630" s="8">
        <f>IF(A1630="","",N(C1630)-N(D1630))</f>
        <v/>
      </c>
    </row>
    <row r="1631" spans="5:5">
      <c r="E1631" s="8">
        <f>IF(A1631="","",N(C1631)-N(D1631))</f>
        <v/>
      </c>
    </row>
    <row r="1632" spans="5:5">
      <c r="E1632" s="8">
        <f>IF(A1632="","",N(C1632)-N(D1632))</f>
        <v/>
      </c>
    </row>
    <row r="1633" spans="5:5">
      <c r="E1633" s="8">
        <f>IF(A1633="","",N(C1633)-N(D1633))</f>
        <v/>
      </c>
    </row>
    <row r="1634" spans="5:5">
      <c r="E1634" s="8">
        <f>IF(A1634="","",N(C1634)-N(D1634))</f>
        <v/>
      </c>
    </row>
    <row r="1635" spans="5:5">
      <c r="E1635" s="8">
        <f>IF(A1635="","",N(C1635)-N(D1635))</f>
        <v/>
      </c>
    </row>
    <row r="1636" spans="5:5">
      <c r="E1636" s="8">
        <f>IF(A1636="","",N(C1636)-N(D1636))</f>
        <v/>
      </c>
    </row>
    <row r="1637" spans="5:5">
      <c r="E1637" s="8">
        <f>IF(A1637="","",N(C1637)-N(D1637))</f>
        <v/>
      </c>
    </row>
    <row r="1638" spans="5:5">
      <c r="E1638" s="8">
        <f>IF(A1638="","",N(C1638)-N(D1638))</f>
        <v/>
      </c>
    </row>
    <row r="1639" spans="5:5">
      <c r="E1639" s="8">
        <f>IF(A1639="","",N(C1639)-N(D1639))</f>
        <v/>
      </c>
    </row>
    <row r="1640" spans="5:5">
      <c r="E1640" s="8">
        <f>IF(A1640="","",N(C1640)-N(D1640))</f>
        <v/>
      </c>
    </row>
    <row r="1641" spans="5:5">
      <c r="E1641" s="8">
        <f>IF(A1641="","",N(C1641)-N(D1641))</f>
        <v/>
      </c>
    </row>
    <row r="1642" spans="5:5">
      <c r="E1642" s="8">
        <f>IF(A1642="","",N(C1642)-N(D1642))</f>
        <v/>
      </c>
    </row>
    <row r="1643" spans="5:5">
      <c r="E1643" s="8">
        <f>IF(A1643="","",N(C1643)-N(D1643))</f>
        <v/>
      </c>
    </row>
    <row r="1644" spans="5:5">
      <c r="E1644" s="8">
        <f>IF(A1644="","",N(C1644)-N(D1644))</f>
        <v/>
      </c>
    </row>
    <row r="1645" spans="5:5">
      <c r="E1645" s="8">
        <f>IF(A1645="","",N(C1645)-N(D1645))</f>
        <v/>
      </c>
    </row>
    <row r="1646" spans="5:5">
      <c r="E1646" s="8">
        <f>IF(A1646="","",N(C1646)-N(D1646))</f>
        <v/>
      </c>
    </row>
    <row r="1647" spans="5:5">
      <c r="E1647" s="8">
        <f>IF(A1647="","",N(C1647)-N(D1647))</f>
        <v/>
      </c>
    </row>
    <row r="1648" spans="5:5">
      <c r="E1648" s="8">
        <f>IF(A1648="","",N(C1648)-N(D1648))</f>
        <v/>
      </c>
    </row>
    <row r="1649" spans="5:5">
      <c r="E1649" s="8">
        <f>IF(A1649="","",N(C1649)-N(D1649))</f>
        <v/>
      </c>
    </row>
    <row r="1650" spans="5:5">
      <c r="E1650" s="8">
        <f>IF(A1650="","",N(C1650)-N(D1650))</f>
        <v/>
      </c>
    </row>
    <row r="1651" spans="5:5">
      <c r="E1651" s="8">
        <f>IF(A1651="","",N(C1651)-N(D1651))</f>
        <v/>
      </c>
    </row>
    <row r="1652" spans="5:5">
      <c r="E1652" s="8">
        <f>IF(A1652="","",N(C1652)-N(D1652))</f>
        <v/>
      </c>
    </row>
    <row r="1653" spans="5:5">
      <c r="E1653" s="8">
        <f>IF(A1653="","",N(C1653)-N(D1653))</f>
        <v/>
      </c>
    </row>
    <row r="1654" spans="5:5">
      <c r="E1654" s="8">
        <f>IF(A1654="","",N(C1654)-N(D1654))</f>
        <v/>
      </c>
    </row>
    <row r="1655" spans="5:5">
      <c r="E1655" s="8">
        <f>IF(A1655="","",N(C1655)-N(D1655))</f>
        <v/>
      </c>
    </row>
    <row r="1656" spans="5:5">
      <c r="E1656" s="8">
        <f>IF(A1656="","",N(C1656)-N(D1656))</f>
        <v/>
      </c>
    </row>
    <row r="1657" spans="5:5">
      <c r="E1657" s="8">
        <f>IF(A1657="","",N(C1657)-N(D1657))</f>
        <v/>
      </c>
    </row>
    <row r="1658" spans="5:5">
      <c r="E1658" s="8">
        <f>IF(A1658="","",N(C1658)-N(D1658))</f>
        <v/>
      </c>
    </row>
    <row r="1659" spans="5:5">
      <c r="E1659" s="8">
        <f>IF(A1659="","",N(C1659)-N(D1659))</f>
        <v/>
      </c>
    </row>
    <row r="1660" spans="5:5">
      <c r="E1660" s="8">
        <f>IF(A1660="","",N(C1660)-N(D1660))</f>
        <v/>
      </c>
    </row>
    <row r="1661" spans="5:5">
      <c r="E1661" s="8">
        <f>IF(A1661="","",N(C1661)-N(D1661))</f>
        <v/>
      </c>
    </row>
    <row r="1662" spans="5:5">
      <c r="E1662" s="8">
        <f>IF(A1662="","",N(C1662)-N(D1662))</f>
        <v/>
      </c>
    </row>
    <row r="1663" spans="5:5">
      <c r="E1663" s="8">
        <f>IF(A1663="","",N(C1663)-N(D1663))</f>
        <v/>
      </c>
    </row>
    <row r="1664" spans="5:5">
      <c r="E1664" s="8">
        <f>IF(A1664="","",N(C1664)-N(D1664))</f>
        <v/>
      </c>
    </row>
    <row r="1665" spans="5:5">
      <c r="E1665" s="8">
        <f>IF(A1665="","",N(C1665)-N(D1665))</f>
        <v/>
      </c>
    </row>
    <row r="1666" spans="5:5">
      <c r="E1666" s="8">
        <f>IF(A1666="","",N(C1666)-N(D1666))</f>
        <v/>
      </c>
    </row>
    <row r="1667" spans="5:5">
      <c r="E1667" s="8">
        <f>IF(A1667="","",N(C1667)-N(D1667))</f>
        <v/>
      </c>
    </row>
    <row r="1668" spans="5:5">
      <c r="E1668" s="8">
        <f>IF(A1668="","",N(C1668)-N(D1668))</f>
        <v/>
      </c>
    </row>
    <row r="1669" spans="5:5">
      <c r="E1669" s="8">
        <f>IF(A1669="","",N(C1669)-N(D1669))</f>
        <v/>
      </c>
    </row>
    <row r="1670" spans="5:5">
      <c r="E1670" s="8">
        <f>IF(A1670="","",N(C1670)-N(D1670))</f>
        <v/>
      </c>
    </row>
    <row r="1671" spans="5:5">
      <c r="E1671" s="8">
        <f>IF(A1671="","",N(C1671)-N(D1671))</f>
        <v/>
      </c>
    </row>
    <row r="1672" spans="5:5">
      <c r="E1672" s="8">
        <f>IF(A1672="","",N(C1672)-N(D1672))</f>
        <v/>
      </c>
    </row>
    <row r="1673" spans="5:5">
      <c r="E1673" s="8">
        <f>IF(A1673="","",N(C1673)-N(D1673))</f>
        <v/>
      </c>
    </row>
    <row r="1674" spans="5:5">
      <c r="E1674" s="8">
        <f>IF(A1674="","",N(C1674)-N(D1674))</f>
        <v/>
      </c>
    </row>
    <row r="1675" spans="5:5">
      <c r="E1675" s="8">
        <f>IF(A1675="","",N(C1675)-N(D1675))</f>
        <v/>
      </c>
    </row>
    <row r="1676" spans="5:5">
      <c r="E1676" s="8">
        <f>IF(A1676="","",N(C1676)-N(D1676))</f>
        <v/>
      </c>
    </row>
    <row r="1677" spans="5:5">
      <c r="E1677" s="8">
        <f>IF(A1677="","",N(C1677)-N(D1677))</f>
        <v/>
      </c>
    </row>
    <row r="1678" spans="5:5">
      <c r="E1678" s="8">
        <f>IF(A1678="","",N(C1678)-N(D1678))</f>
        <v/>
      </c>
    </row>
    <row r="1679" spans="5:5">
      <c r="E1679" s="8">
        <f>IF(A1679="","",N(C1679)-N(D1679))</f>
        <v/>
      </c>
    </row>
    <row r="1680" spans="5:5">
      <c r="E1680" s="8">
        <f>IF(A1680="","",N(C1680)-N(D1680))</f>
        <v/>
      </c>
    </row>
    <row r="1681" spans="5:5">
      <c r="E1681" s="8">
        <f>IF(A1681="","",N(C1681)-N(D1681))</f>
        <v/>
      </c>
    </row>
    <row r="1682" spans="5:5">
      <c r="E1682" s="8">
        <f>IF(A1682="","",N(C1682)-N(D1682))</f>
        <v/>
      </c>
    </row>
    <row r="1683" spans="5:5">
      <c r="E1683" s="8">
        <f>IF(A1683="","",N(C1683)-N(D1683))</f>
        <v/>
      </c>
    </row>
    <row r="1684" spans="5:5">
      <c r="E1684" s="8">
        <f>IF(A1684="","",N(C1684)-N(D1684))</f>
        <v/>
      </c>
    </row>
    <row r="1685" spans="5:5">
      <c r="E1685" s="8">
        <f>IF(A1685="","",N(C1685)-N(D1685))</f>
        <v/>
      </c>
    </row>
    <row r="1686" spans="5:5">
      <c r="E1686" s="8">
        <f>IF(A1686="","",N(C1686)-N(D1686))</f>
        <v/>
      </c>
    </row>
    <row r="1687" spans="5:5">
      <c r="E1687" s="8">
        <f>IF(A1687="","",N(C1687)-N(D1687))</f>
        <v/>
      </c>
    </row>
    <row r="1688" spans="5:5">
      <c r="E1688" s="8">
        <f>IF(A1688="","",N(C1688)-N(D1688))</f>
        <v/>
      </c>
    </row>
    <row r="1689" spans="5:5">
      <c r="E1689" s="8">
        <f>IF(A1689="","",N(C1689)-N(D1689))</f>
        <v/>
      </c>
    </row>
    <row r="1690" spans="5:5">
      <c r="E1690" s="8">
        <f>IF(A1690="","",N(C1690)-N(D1690))</f>
        <v/>
      </c>
    </row>
    <row r="1691" spans="5:5">
      <c r="E1691" s="8">
        <f>IF(A1691="","",N(C1691)-N(D1691))</f>
        <v/>
      </c>
    </row>
    <row r="1692" spans="5:5">
      <c r="E1692" s="8">
        <f>IF(A1692="","",N(C1692)-N(D1692))</f>
        <v/>
      </c>
    </row>
    <row r="1693" spans="5:5">
      <c r="E1693" s="8">
        <f>IF(A1693="","",N(C1693)-N(D1693))</f>
        <v/>
      </c>
    </row>
    <row r="1694" spans="5:5">
      <c r="E1694" s="8">
        <f>IF(A1694="","",N(C1694)-N(D1694))</f>
        <v/>
      </c>
    </row>
    <row r="1695" spans="5:5">
      <c r="E1695" s="8">
        <f>IF(A1695="","",N(C1695)-N(D1695))</f>
        <v/>
      </c>
    </row>
    <row r="1696" spans="5:5">
      <c r="E1696" s="8">
        <f>IF(A1696="","",N(C1696)-N(D1696))</f>
        <v/>
      </c>
    </row>
    <row r="1697" spans="5:5">
      <c r="E1697" s="8">
        <f>IF(A1697="","",N(C1697)-N(D1697))</f>
        <v/>
      </c>
    </row>
    <row r="1698" spans="5:5">
      <c r="E1698" s="8">
        <f>IF(A1698="","",N(C1698)-N(D1698))</f>
        <v/>
      </c>
    </row>
    <row r="1699" spans="5:5">
      <c r="E1699" s="8">
        <f>IF(A1699="","",N(C1699)-N(D1699))</f>
        <v/>
      </c>
    </row>
    <row r="1700" spans="5:5">
      <c r="E1700" s="8">
        <f>IF(A1700="","",N(C1700)-N(D1700))</f>
        <v/>
      </c>
    </row>
    <row r="1701" spans="5:5">
      <c r="E1701" s="8">
        <f>IF(A1701="","",N(C1701)-N(D1701))</f>
        <v/>
      </c>
    </row>
    <row r="1702" spans="5:5">
      <c r="E1702" s="8">
        <f>IF(A1702="","",N(C1702)-N(D1702))</f>
        <v/>
      </c>
    </row>
    <row r="1703" spans="5:5">
      <c r="E1703" s="8">
        <f>IF(A1703="","",N(C1703)-N(D1703))</f>
        <v/>
      </c>
    </row>
    <row r="1704" spans="5:5">
      <c r="E1704" s="8">
        <f>IF(A1704="","",N(C1704)-N(D1704))</f>
        <v/>
      </c>
    </row>
    <row r="1705" spans="5:5">
      <c r="E1705" s="8">
        <f>IF(A1705="","",N(C1705)-N(D1705))</f>
        <v/>
      </c>
    </row>
    <row r="1706" spans="5:5">
      <c r="E1706" s="8">
        <f>IF(A1706="","",N(C1706)-N(D1706))</f>
        <v/>
      </c>
    </row>
    <row r="1707" spans="5:5">
      <c r="E1707" s="8">
        <f>IF(A1707="","",N(C1707)-N(D1707))</f>
        <v/>
      </c>
    </row>
    <row r="1708" spans="5:5">
      <c r="E1708" s="8">
        <f>IF(A1708="","",N(C1708)-N(D1708))</f>
        <v/>
      </c>
    </row>
    <row r="1709" spans="5:5">
      <c r="E1709" s="8">
        <f>IF(A1709="","",N(C1709)-N(D1709))</f>
        <v/>
      </c>
    </row>
    <row r="1710" spans="5:5">
      <c r="E1710" s="8">
        <f>IF(A1710="","",N(C1710)-N(D1710))</f>
        <v/>
      </c>
    </row>
    <row r="1711" spans="5:5">
      <c r="E1711" s="8">
        <f>IF(A1711="","",N(C1711)-N(D1711))</f>
        <v/>
      </c>
    </row>
    <row r="1712" spans="5:5">
      <c r="E1712" s="8">
        <f>IF(A1712="","",N(C1712)-N(D1712))</f>
        <v/>
      </c>
    </row>
    <row r="1713" spans="5:5">
      <c r="E1713" s="8">
        <f>IF(A1713="","",N(C1713)-N(D1713))</f>
        <v/>
      </c>
    </row>
    <row r="1714" spans="5:5">
      <c r="E1714" s="8">
        <f>IF(A1714="","",N(C1714)-N(D1714))</f>
        <v/>
      </c>
    </row>
    <row r="1715" spans="5:5">
      <c r="E1715" s="8">
        <f>IF(A1715="","",N(C1715)-N(D1715))</f>
        <v/>
      </c>
    </row>
    <row r="1716" spans="5:5">
      <c r="E1716" s="8">
        <f>IF(A1716="","",N(C1716)-N(D1716))</f>
        <v/>
      </c>
    </row>
    <row r="1717" spans="5:5">
      <c r="E1717" s="8">
        <f>IF(A1717="","",N(C1717)-N(D1717))</f>
        <v/>
      </c>
    </row>
    <row r="1718" spans="5:5">
      <c r="E1718" s="8">
        <f>IF(A1718="","",N(C1718)-N(D1718))</f>
        <v/>
      </c>
    </row>
    <row r="1719" spans="5:5">
      <c r="E1719" s="8">
        <f>IF(A1719="","",N(C1719)-N(D1719))</f>
        <v/>
      </c>
    </row>
    <row r="1720" spans="5:5">
      <c r="E1720" s="8">
        <f>IF(A1720="","",N(C1720)-N(D1720))</f>
        <v/>
      </c>
    </row>
    <row r="1721" spans="5:5">
      <c r="E1721" s="8">
        <f>IF(A1721="","",N(C1721)-N(D1721))</f>
        <v/>
      </c>
    </row>
    <row r="1722" spans="5:5">
      <c r="E1722" s="8">
        <f>IF(A1722="","",N(C1722)-N(D1722))</f>
        <v/>
      </c>
    </row>
    <row r="1723" spans="5:5">
      <c r="E1723" s="8">
        <f>IF(A1723="","",N(C1723)-N(D1723))</f>
        <v/>
      </c>
    </row>
    <row r="1724" spans="5:5">
      <c r="E1724" s="8">
        <f>IF(A1724="","",N(C1724)-N(D1724))</f>
        <v/>
      </c>
    </row>
    <row r="1725" spans="5:5">
      <c r="E1725" s="8">
        <f>IF(A1725="","",N(C1725)-N(D1725))</f>
        <v/>
      </c>
    </row>
    <row r="1726" spans="5:5">
      <c r="E1726" s="8">
        <f>IF(A1726="","",N(C1726)-N(D1726))</f>
        <v/>
      </c>
    </row>
    <row r="1727" spans="5:5">
      <c r="E1727" s="8">
        <f>IF(A1727="","",N(C1727)-N(D1727))</f>
        <v/>
      </c>
    </row>
    <row r="1728" spans="5:5">
      <c r="E1728" s="8">
        <f>IF(A1728="","",N(C1728)-N(D1728))</f>
        <v/>
      </c>
    </row>
    <row r="1729" spans="5:5">
      <c r="E1729" s="8">
        <f>IF(A1729="","",N(C1729)-N(D1729))</f>
        <v/>
      </c>
    </row>
    <row r="1730" spans="5:5">
      <c r="E1730" s="8">
        <f>IF(A1730="","",N(C1730)-N(D1730))</f>
        <v/>
      </c>
    </row>
    <row r="1731" spans="5:5">
      <c r="E1731" s="8">
        <f>IF(A1731="","",N(C1731)-N(D1731))</f>
        <v/>
      </c>
    </row>
    <row r="1732" spans="5:5">
      <c r="E1732" s="8">
        <f>IF(A1732="","",N(C1732)-N(D1732))</f>
        <v/>
      </c>
    </row>
    <row r="1733" spans="5:5">
      <c r="E1733" s="8">
        <f>IF(A1733="","",N(C1733)-N(D1733))</f>
        <v/>
      </c>
    </row>
    <row r="1734" spans="5:5">
      <c r="E1734" s="8">
        <f>IF(A1734="","",N(C1734)-N(D1734))</f>
        <v/>
      </c>
    </row>
    <row r="1735" spans="5:5">
      <c r="E1735" s="8">
        <f>IF(A1735="","",N(C1735)-N(D1735))</f>
        <v/>
      </c>
    </row>
    <row r="1736" spans="5:5">
      <c r="E1736" s="8">
        <f>IF(A1736="","",N(C1736)-N(D1736))</f>
        <v/>
      </c>
    </row>
    <row r="1737" spans="5:5">
      <c r="E1737" s="8">
        <f>IF(A1737="","",N(C1737)-N(D1737))</f>
        <v/>
      </c>
    </row>
    <row r="1738" spans="5:5">
      <c r="E1738" s="8">
        <f>IF(A1738="","",N(C1738)-N(D1738))</f>
        <v/>
      </c>
    </row>
    <row r="1739" spans="5:5">
      <c r="E1739" s="8">
        <f>IF(A1739="","",N(C1739)-N(D1739))</f>
        <v/>
      </c>
    </row>
    <row r="1740" spans="5:5">
      <c r="E1740" s="8">
        <f>IF(A1740="","",N(C1740)-N(D1740))</f>
        <v/>
      </c>
    </row>
    <row r="1741" spans="5:5">
      <c r="E1741" s="8">
        <f>IF(A1741="","",N(C1741)-N(D1741))</f>
        <v/>
      </c>
    </row>
    <row r="1742" spans="5:5">
      <c r="E1742" s="8">
        <f>IF(A1742="","",N(C1742)-N(D1742))</f>
        <v/>
      </c>
    </row>
    <row r="1743" spans="5:5">
      <c r="E1743" s="8">
        <f>IF(A1743="","",N(C1743)-N(D1743))</f>
        <v/>
      </c>
    </row>
    <row r="1744" spans="5:5">
      <c r="E1744" s="8">
        <f>IF(A1744="","",N(C1744)-N(D1744))</f>
        <v/>
      </c>
    </row>
    <row r="1745" spans="5:5">
      <c r="E1745" s="8">
        <f>IF(A1745="","",N(C1745)-N(D1745))</f>
        <v/>
      </c>
    </row>
    <row r="1746" spans="5:5">
      <c r="E1746" s="8">
        <f>IF(A1746="","",N(C1746)-N(D1746))</f>
        <v/>
      </c>
    </row>
    <row r="1747" spans="5:5">
      <c r="E1747" s="8">
        <f>IF(A1747="","",N(C1747)-N(D1747))</f>
        <v/>
      </c>
    </row>
    <row r="1748" spans="5:5">
      <c r="E1748" s="8">
        <f>IF(A1748="","",N(C1748)-N(D1748))</f>
        <v/>
      </c>
    </row>
    <row r="1749" spans="5:5">
      <c r="E1749" s="8">
        <f>IF(A1749="","",N(C1749)-N(D1749))</f>
        <v/>
      </c>
    </row>
    <row r="1750" spans="5:5">
      <c r="E1750" s="8">
        <f>IF(A1750="","",N(C1750)-N(D1750))</f>
        <v/>
      </c>
    </row>
    <row r="1751" spans="5:5">
      <c r="E1751" s="8">
        <f>IF(A1751="","",N(C1751)-N(D1751))</f>
        <v/>
      </c>
    </row>
    <row r="1752" spans="5:5">
      <c r="E1752" s="8">
        <f>IF(A1752="","",N(C1752)-N(D1752))</f>
        <v/>
      </c>
    </row>
    <row r="1753" spans="5:5">
      <c r="E1753" s="8">
        <f>IF(A1753="","",N(C1753)-N(D1753))</f>
        <v/>
      </c>
    </row>
    <row r="1754" spans="5:5">
      <c r="E1754" s="8">
        <f>IF(A1754="","",N(C1754)-N(D1754))</f>
        <v/>
      </c>
    </row>
    <row r="1755" spans="5:5">
      <c r="E1755" s="8">
        <f>IF(A1755="","",N(C1755)-N(D1755))</f>
        <v/>
      </c>
    </row>
    <row r="1756" spans="5:5">
      <c r="E1756" s="8">
        <f>IF(A1756="","",N(C1756)-N(D1756))</f>
        <v/>
      </c>
    </row>
    <row r="1757" spans="5:5">
      <c r="E1757" s="8">
        <f>IF(A1757="","",N(C1757)-N(D1757))</f>
        <v/>
      </c>
    </row>
    <row r="1758" spans="5:5">
      <c r="E1758" s="8">
        <f>IF(A1758="","",N(C1758)-N(D1758))</f>
        <v/>
      </c>
    </row>
    <row r="1759" spans="5:5">
      <c r="E1759" s="8">
        <f>IF(A1759="","",N(C1759)-N(D1759))</f>
        <v/>
      </c>
    </row>
    <row r="1760" spans="5:5">
      <c r="E1760" s="8">
        <f>IF(A1760="","",N(C1760)-N(D1760))</f>
        <v/>
      </c>
    </row>
    <row r="1761" spans="5:5">
      <c r="E1761" s="8">
        <f>IF(A1761="","",N(C1761)-N(D1761))</f>
        <v/>
      </c>
    </row>
    <row r="1762" spans="5:5">
      <c r="E1762" s="8">
        <f>IF(A1762="","",N(C1762)-N(D1762))</f>
        <v/>
      </c>
    </row>
    <row r="1763" spans="5:5">
      <c r="E1763" s="8">
        <f>IF(A1763="","",N(C1763)-N(D1763))</f>
        <v/>
      </c>
    </row>
    <row r="1764" spans="5:5">
      <c r="E1764" s="8">
        <f>IF(A1764="","",N(C1764)-N(D1764))</f>
        <v/>
      </c>
    </row>
    <row r="1765" spans="5:5">
      <c r="E1765" s="8">
        <f>IF(A1765="","",N(C1765)-N(D1765))</f>
        <v/>
      </c>
    </row>
    <row r="1766" spans="5:5">
      <c r="E1766" s="8">
        <f>IF(A1766="","",N(C1766)-N(D1766))</f>
        <v/>
      </c>
    </row>
    <row r="1767" spans="5:5">
      <c r="E1767" s="8">
        <f>IF(A1767="","",N(C1767)-N(D1767))</f>
        <v/>
      </c>
    </row>
    <row r="1768" spans="5:5">
      <c r="E1768" s="8">
        <f>IF(A1768="","",N(C1768)-N(D1768))</f>
        <v/>
      </c>
    </row>
    <row r="1769" spans="5:5">
      <c r="E1769" s="8">
        <f>IF(A1769="","",N(C1769)-N(D1769))</f>
        <v/>
      </c>
    </row>
    <row r="1770" spans="5:5">
      <c r="E1770" s="8">
        <f>IF(A1770="","",N(C1770)-N(D1770))</f>
        <v/>
      </c>
    </row>
    <row r="1771" spans="5:5">
      <c r="E1771" s="8">
        <f>IF(A1771="","",N(C1771)-N(D1771))</f>
        <v/>
      </c>
    </row>
    <row r="1772" spans="5:5">
      <c r="E1772" s="8">
        <f>IF(A1772="","",N(C1772)-N(D1772))</f>
        <v/>
      </c>
    </row>
    <row r="1773" spans="5:5">
      <c r="E1773" s="8">
        <f>IF(A1773="","",N(C1773)-N(D1773))</f>
        <v/>
      </c>
    </row>
    <row r="1774" spans="5:5">
      <c r="E1774" s="8">
        <f>IF(A1774="","",N(C1774)-N(D1774))</f>
        <v/>
      </c>
    </row>
    <row r="1775" spans="5:5">
      <c r="E1775" s="8">
        <f>IF(A1775="","",N(C1775)-N(D1775))</f>
        <v/>
      </c>
    </row>
    <row r="1776" spans="5:5">
      <c r="E1776" s="8">
        <f>IF(A1776="","",N(C1776)-N(D1776))</f>
        <v/>
      </c>
    </row>
    <row r="1777" spans="5:5">
      <c r="E1777" s="8">
        <f>IF(A1777="","",N(C1777)-N(D1777))</f>
        <v/>
      </c>
    </row>
    <row r="1778" spans="5:5">
      <c r="E1778" s="8">
        <f>IF(A1778="","",N(C1778)-N(D1778))</f>
        <v/>
      </c>
    </row>
    <row r="1779" spans="5:5">
      <c r="E1779" s="8">
        <f>IF(A1779="","",N(C1779)-N(D1779))</f>
        <v/>
      </c>
    </row>
    <row r="1780" spans="5:5">
      <c r="E1780" s="8">
        <f>IF(A1780="","",N(C1780)-N(D1780))</f>
        <v/>
      </c>
    </row>
    <row r="1781" spans="5:5">
      <c r="E1781" s="8">
        <f>IF(A1781="","",N(C1781)-N(D1781))</f>
        <v/>
      </c>
    </row>
    <row r="1782" spans="5:5">
      <c r="E1782" s="8">
        <f>IF(A1782="","",N(C1782)-N(D1782))</f>
        <v/>
      </c>
    </row>
    <row r="1783" spans="5:5">
      <c r="E1783" s="8">
        <f>IF(A1783="","",N(C1783)-N(D1783))</f>
        <v/>
      </c>
    </row>
    <row r="1784" spans="5:5">
      <c r="E1784" s="8">
        <f>IF(A1784="","",N(C1784)-N(D1784))</f>
        <v/>
      </c>
    </row>
    <row r="1785" spans="5:5">
      <c r="E1785" s="8">
        <f>IF(A1785="","",N(C1785)-N(D1785))</f>
        <v/>
      </c>
    </row>
    <row r="1786" spans="5:5">
      <c r="E1786" s="8">
        <f>IF(A1786="","",N(C1786)-N(D1786))</f>
        <v/>
      </c>
    </row>
    <row r="1787" spans="5:5">
      <c r="E1787" s="8">
        <f>IF(A1787="","",N(C1787)-N(D1787))</f>
        <v/>
      </c>
    </row>
    <row r="1788" spans="5:5">
      <c r="E1788" s="8">
        <f>IF(A1788="","",N(C1788)-N(D1788))</f>
        <v/>
      </c>
    </row>
    <row r="1789" spans="5:5">
      <c r="E1789" s="8">
        <f>IF(A1789="","",N(C1789)-N(D1789))</f>
        <v/>
      </c>
    </row>
    <row r="1790" spans="5:5">
      <c r="E1790" s="8">
        <f>IF(A1790="","",N(C1790)-N(D1790))</f>
        <v/>
      </c>
    </row>
    <row r="1791" spans="5:5">
      <c r="E1791" s="8">
        <f>IF(A1791="","",N(C1791)-N(D1791))</f>
        <v/>
      </c>
    </row>
    <row r="1792" spans="5:5">
      <c r="E1792" s="8">
        <f>IF(A1792="","",N(C1792)-N(D1792))</f>
        <v/>
      </c>
    </row>
    <row r="1793" spans="5:5">
      <c r="E1793" s="8">
        <f>IF(A1793="","",N(C1793)-N(D1793))</f>
        <v/>
      </c>
    </row>
    <row r="1794" spans="5:5">
      <c r="E1794" s="8">
        <f>IF(A1794="","",N(C1794)-N(D1794))</f>
        <v/>
      </c>
    </row>
    <row r="1795" spans="5:5">
      <c r="E1795" s="8">
        <f>IF(A1795="","",N(C1795)-N(D1795))</f>
        <v/>
      </c>
    </row>
    <row r="1796" spans="5:5">
      <c r="E1796" s="8">
        <f>IF(A1796="","",N(C1796)-N(D1796))</f>
        <v/>
      </c>
    </row>
    <row r="1797" spans="5:5">
      <c r="E1797" s="8">
        <f>IF(A1797="","",N(C1797)-N(D1797))</f>
        <v/>
      </c>
    </row>
    <row r="1798" spans="5:5">
      <c r="E1798" s="8">
        <f>IF(A1798="","",N(C1798)-N(D1798))</f>
        <v/>
      </c>
    </row>
    <row r="1799" spans="5:5">
      <c r="E1799" s="8">
        <f>IF(A1799="","",N(C1799)-N(D1799))</f>
        <v/>
      </c>
    </row>
    <row r="1800" spans="5:5">
      <c r="E1800" s="8">
        <f>IF(A1800="","",N(C1800)-N(D1800))</f>
        <v/>
      </c>
    </row>
    <row r="1801" spans="5:5">
      <c r="E1801" s="8">
        <f>IF(A1801="","",N(C1801)-N(D1801))</f>
        <v/>
      </c>
    </row>
    <row r="1802" spans="5:5">
      <c r="E1802" s="8">
        <f>IF(A1802="","",N(C1802)-N(D1802))</f>
        <v/>
      </c>
    </row>
    <row r="1803" spans="5:5">
      <c r="E1803" s="8">
        <f>IF(A1803="","",N(C1803)-N(D1803))</f>
        <v/>
      </c>
    </row>
    <row r="1804" spans="5:5">
      <c r="E1804" s="8">
        <f>IF(A1804="","",N(C1804)-N(D1804))</f>
        <v/>
      </c>
    </row>
    <row r="1805" spans="5:5">
      <c r="E1805" s="8">
        <f>IF(A1805="","",N(C1805)-N(D1805))</f>
        <v/>
      </c>
    </row>
    <row r="1806" spans="5:5">
      <c r="E1806" s="8">
        <f>IF(A1806="","",N(C1806)-N(D1806))</f>
        <v/>
      </c>
    </row>
    <row r="1807" spans="5:5">
      <c r="E1807" s="8">
        <f>IF(A1807="","",N(C1807)-N(D1807))</f>
        <v/>
      </c>
    </row>
    <row r="1808" spans="5:5">
      <c r="E1808" s="8">
        <f>IF(A1808="","",N(C1808)-N(D1808))</f>
        <v/>
      </c>
    </row>
    <row r="1809" spans="5:5">
      <c r="E1809" s="8">
        <f>IF(A1809="","",N(C1809)-N(D1809))</f>
        <v/>
      </c>
    </row>
    <row r="1810" spans="5:5">
      <c r="E1810" s="8">
        <f>IF(A1810="","",N(C1810)-N(D1810))</f>
        <v/>
      </c>
    </row>
    <row r="1811" spans="5:5">
      <c r="E1811" s="8">
        <f>IF(A1811="","",N(C1811)-N(D1811))</f>
        <v/>
      </c>
    </row>
    <row r="1812" spans="5:5">
      <c r="E1812" s="8">
        <f>IF(A1812="","",N(C1812)-N(D1812))</f>
        <v/>
      </c>
    </row>
    <row r="1813" spans="5:5">
      <c r="E1813" s="8">
        <f>IF(A1813="","",N(C1813)-N(D1813))</f>
        <v/>
      </c>
    </row>
    <row r="1814" spans="5:5">
      <c r="E1814" s="8">
        <f>IF(A1814="","",N(C1814)-N(D1814))</f>
        <v/>
      </c>
    </row>
    <row r="1815" spans="5:5">
      <c r="E1815" s="8">
        <f>IF(A1815="","",N(C1815)-N(D1815))</f>
        <v/>
      </c>
    </row>
    <row r="1816" spans="5:5">
      <c r="E1816" s="8">
        <f>IF(A1816="","",N(C1816)-N(D1816))</f>
        <v/>
      </c>
    </row>
    <row r="1817" spans="5:5">
      <c r="E1817" s="8">
        <f>IF(A1817="","",N(C1817)-N(D1817))</f>
        <v/>
      </c>
    </row>
    <row r="1818" spans="5:5">
      <c r="E1818" s="8">
        <f>IF(A1818="","",N(C1818)-N(D1818))</f>
        <v/>
      </c>
    </row>
    <row r="1819" spans="5:5">
      <c r="E1819" s="8">
        <f>IF(A1819="","",N(C1819)-N(D1819))</f>
        <v/>
      </c>
    </row>
    <row r="1820" spans="5:5">
      <c r="E1820" s="8">
        <f>IF(A1820="","",N(C1820)-N(D1820))</f>
        <v/>
      </c>
    </row>
    <row r="1821" spans="5:5">
      <c r="E1821" s="8">
        <f>IF(A1821="","",N(C1821)-N(D1821))</f>
        <v/>
      </c>
    </row>
    <row r="1822" spans="5:5">
      <c r="E1822" s="8">
        <f>IF(A1822="","",N(C1822)-N(D1822))</f>
        <v/>
      </c>
    </row>
    <row r="1823" spans="5:5">
      <c r="E1823" s="8">
        <f>IF(A1823="","",N(C1823)-N(D1823))</f>
        <v/>
      </c>
    </row>
    <row r="1824" spans="5:5">
      <c r="E1824" s="8">
        <f>IF(A1824="","",N(C1824)-N(D1824))</f>
        <v/>
      </c>
    </row>
    <row r="1825" spans="5:5">
      <c r="E1825" s="8">
        <f>IF(A1825="","",N(C1825)-N(D1825))</f>
        <v/>
      </c>
    </row>
    <row r="1826" spans="5:5">
      <c r="E1826" s="8">
        <f>IF(A1826="","",N(C1826)-N(D1826))</f>
        <v/>
      </c>
    </row>
    <row r="1827" spans="5:5">
      <c r="E1827" s="8">
        <f>IF(A1827="","",N(C1827)-N(D1827))</f>
        <v/>
      </c>
    </row>
    <row r="1828" spans="5:5">
      <c r="E1828" s="8">
        <f>IF(A1828="","",N(C1828)-N(D1828))</f>
        <v/>
      </c>
    </row>
    <row r="1829" spans="5:5">
      <c r="E1829" s="8">
        <f>IF(A1829="","",N(C1829)-N(D1829))</f>
        <v/>
      </c>
    </row>
    <row r="1830" spans="5:5">
      <c r="E1830" s="8">
        <f>IF(A1830="","",N(C1830)-N(D1830))</f>
        <v/>
      </c>
    </row>
    <row r="1831" spans="5:5">
      <c r="E1831" s="8">
        <f>IF(A1831="","",N(C1831)-N(D1831))</f>
        <v/>
      </c>
    </row>
    <row r="1832" spans="5:5">
      <c r="E1832" s="8">
        <f>IF(A1832="","",N(C1832)-N(D1832))</f>
        <v/>
      </c>
    </row>
    <row r="1833" spans="5:5">
      <c r="E1833" s="8">
        <f>IF(A1833="","",N(C1833)-N(D1833))</f>
        <v/>
      </c>
    </row>
    <row r="1834" spans="5:5">
      <c r="E1834" s="8">
        <f>IF(A1834="","",N(C1834)-N(D1834))</f>
        <v/>
      </c>
    </row>
    <row r="1835" spans="5:5">
      <c r="E1835" s="8">
        <f>IF(A1835="","",N(C1835)-N(D1835))</f>
        <v/>
      </c>
    </row>
    <row r="1836" spans="5:5">
      <c r="E1836" s="8">
        <f>IF(A1836="","",N(C1836)-N(D1836))</f>
        <v/>
      </c>
    </row>
    <row r="1837" spans="5:5">
      <c r="E1837" s="8">
        <f>IF(A1837="","",N(C1837)-N(D1837))</f>
        <v/>
      </c>
    </row>
    <row r="1838" spans="5:5">
      <c r="E1838" s="8">
        <f>IF(A1838="","",N(C1838)-N(D1838))</f>
        <v/>
      </c>
    </row>
    <row r="1839" spans="5:5">
      <c r="E1839" s="8">
        <f>IF(A1839="","",N(C1839)-N(D1839))</f>
        <v/>
      </c>
    </row>
    <row r="1840" spans="5:5">
      <c r="E1840" s="8">
        <f>IF(A1840="","",N(C1840)-N(D1840))</f>
        <v/>
      </c>
    </row>
    <row r="1841" spans="5:5">
      <c r="E1841" s="8">
        <f>IF(A1841="","",N(C1841)-N(D1841))</f>
        <v/>
      </c>
    </row>
    <row r="1842" spans="5:5">
      <c r="E1842" s="8">
        <f>IF(A1842="","",N(C1842)-N(D1842))</f>
        <v/>
      </c>
    </row>
    <row r="1843" spans="5:5">
      <c r="E1843" s="8">
        <f>IF(A1843="","",N(C1843)-N(D1843))</f>
        <v/>
      </c>
    </row>
    <row r="1844" spans="5:5">
      <c r="E1844" s="8">
        <f>IF(A1844="","",N(C1844)-N(D1844))</f>
        <v/>
      </c>
    </row>
    <row r="1845" spans="5:5">
      <c r="E1845" s="8">
        <f>IF(A1845="","",N(C1845)-N(D1845))</f>
        <v/>
      </c>
    </row>
    <row r="1846" spans="5:5">
      <c r="E1846" s="8">
        <f>IF(A1846="","",N(C1846)-N(D1846))</f>
        <v/>
      </c>
    </row>
    <row r="1847" spans="5:5">
      <c r="E1847" s="8">
        <f>IF(A1847="","",N(C1847)-N(D1847))</f>
        <v/>
      </c>
    </row>
    <row r="1848" spans="5:5">
      <c r="E1848" s="8">
        <f>IF(A1848="","",N(C1848)-N(D1848))</f>
        <v/>
      </c>
    </row>
    <row r="1849" spans="5:5">
      <c r="E1849" s="8">
        <f>IF(A1849="","",N(C1849)-N(D1849))</f>
        <v/>
      </c>
    </row>
    <row r="1850" spans="5:5">
      <c r="E1850" s="8">
        <f>IF(A1850="","",N(C1850)-N(D1850))</f>
        <v/>
      </c>
    </row>
    <row r="1851" spans="5:5">
      <c r="E1851" s="8">
        <f>IF(A1851="","",N(C1851)-N(D1851))</f>
        <v/>
      </c>
    </row>
    <row r="1852" spans="5:5">
      <c r="E1852" s="8">
        <f>IF(A1852="","",N(C1852)-N(D1852))</f>
        <v/>
      </c>
    </row>
    <row r="1853" spans="5:5">
      <c r="E1853" s="8">
        <f>IF(A1853="","",N(C1853)-N(D1853))</f>
        <v/>
      </c>
    </row>
    <row r="1854" spans="5:5">
      <c r="E1854" s="8">
        <f>IF(A1854="","",N(C1854)-N(D1854))</f>
        <v/>
      </c>
    </row>
    <row r="1855" spans="5:5">
      <c r="E1855" s="8">
        <f>IF(A1855="","",N(C1855)-N(D1855))</f>
        <v/>
      </c>
    </row>
    <row r="1856" spans="5:5">
      <c r="E1856" s="8">
        <f>IF(A1856="","",N(C1856)-N(D1856))</f>
        <v/>
      </c>
    </row>
    <row r="1857" spans="5:5">
      <c r="E1857" s="8">
        <f>IF(A1857="","",N(C1857)-N(D1857))</f>
        <v/>
      </c>
    </row>
    <row r="1858" spans="5:5">
      <c r="E1858" s="8">
        <f>IF(A1858="","",N(C1858)-N(D1858))</f>
        <v/>
      </c>
    </row>
    <row r="1859" spans="5:5">
      <c r="E1859" s="8">
        <f>IF(A1859="","",N(C1859)-N(D1859))</f>
        <v/>
      </c>
    </row>
    <row r="1860" spans="5:5">
      <c r="E1860" s="8">
        <f>IF(A1860="","",N(C1860)-N(D1860))</f>
        <v/>
      </c>
    </row>
    <row r="1861" spans="5:5">
      <c r="E1861" s="8">
        <f>IF(A1861="","",N(C1861)-N(D1861))</f>
        <v/>
      </c>
    </row>
    <row r="1862" spans="5:5">
      <c r="E1862" s="8">
        <f>IF(A1862="","",N(C1862)-N(D1862))</f>
        <v/>
      </c>
    </row>
    <row r="1863" spans="5:5">
      <c r="E1863" s="8">
        <f>IF(A1863="","",N(C1863)-N(D1863))</f>
        <v/>
      </c>
    </row>
    <row r="1864" spans="5:5">
      <c r="E1864" s="8">
        <f>IF(A1864="","",N(C1864)-N(D1864))</f>
        <v/>
      </c>
    </row>
    <row r="1865" spans="5:5">
      <c r="E1865" s="8">
        <f>IF(A1865="","",N(C1865)-N(D1865))</f>
        <v/>
      </c>
    </row>
    <row r="1866" spans="5:5">
      <c r="E1866" s="8">
        <f>IF(A1866="","",N(C1866)-N(D1866))</f>
        <v/>
      </c>
    </row>
    <row r="1867" spans="5:5">
      <c r="E1867" s="8">
        <f>IF(A1867="","",N(C1867)-N(D1867))</f>
        <v/>
      </c>
    </row>
    <row r="1868" spans="5:5">
      <c r="E1868" s="8">
        <f>IF(A1868="","",N(C1868)-N(D1868))</f>
        <v/>
      </c>
    </row>
    <row r="1869" spans="5:5">
      <c r="E1869" s="8">
        <f>IF(A1869="","",N(C1869)-N(D1869))</f>
        <v/>
      </c>
    </row>
    <row r="1870" spans="5:5">
      <c r="E1870" s="8">
        <f>IF(A1870="","",N(C1870)-N(D1870))</f>
        <v/>
      </c>
    </row>
    <row r="1871" spans="5:5">
      <c r="E1871" s="8">
        <f>IF(A1871="","",N(C1871)-N(D1871))</f>
        <v/>
      </c>
    </row>
    <row r="1872" spans="5:5">
      <c r="E1872" s="8">
        <f>IF(A1872="","",N(C1872)-N(D1872))</f>
        <v/>
      </c>
    </row>
    <row r="1873" spans="5:5">
      <c r="E1873" s="8">
        <f>IF(A1873="","",N(C1873)-N(D1873))</f>
        <v/>
      </c>
    </row>
    <row r="1874" spans="5:5">
      <c r="E1874" s="8">
        <f>IF(A1874="","",N(C1874)-N(D1874))</f>
        <v/>
      </c>
    </row>
    <row r="1875" spans="5:5">
      <c r="E1875" s="8">
        <f>IF(A1875="","",N(C1875)-N(D1875))</f>
        <v/>
      </c>
    </row>
    <row r="1876" spans="5:5">
      <c r="E1876" s="8">
        <f>IF(A1876="","",N(C1876)-N(D1876))</f>
        <v/>
      </c>
    </row>
    <row r="1877" spans="5:5">
      <c r="E1877" s="8">
        <f>IF(A1877="","",N(C1877)-N(D1877))</f>
        <v/>
      </c>
    </row>
    <row r="1878" spans="5:5">
      <c r="E1878" s="8">
        <f>IF(A1878="","",N(C1878)-N(D1878))</f>
        <v/>
      </c>
    </row>
    <row r="1879" spans="5:5">
      <c r="E1879" s="8">
        <f>IF(A1879="","",N(C1879)-N(D1879))</f>
        <v/>
      </c>
    </row>
    <row r="1880" spans="5:5">
      <c r="E1880" s="8">
        <f>IF(A1880="","",N(C1880)-N(D1880))</f>
        <v/>
      </c>
    </row>
    <row r="1881" spans="5:5">
      <c r="E1881" s="8">
        <f>IF(A1881="","",N(C1881)-N(D1881))</f>
        <v/>
      </c>
    </row>
    <row r="1882" spans="5:5">
      <c r="E1882" s="8">
        <f>IF(A1882="","",N(C1882)-N(D1882))</f>
        <v/>
      </c>
    </row>
    <row r="1883" spans="5:5">
      <c r="E1883" s="8">
        <f>IF(A1883="","",N(C1883)-N(D1883))</f>
        <v/>
      </c>
    </row>
    <row r="1884" spans="5:5">
      <c r="E1884" s="8">
        <f>IF(A1884="","",N(C1884)-N(D1884))</f>
        <v/>
      </c>
    </row>
    <row r="1885" spans="5:5">
      <c r="E1885" s="8">
        <f>IF(A1885="","",N(C1885)-N(D1885))</f>
        <v/>
      </c>
    </row>
    <row r="1886" spans="5:5">
      <c r="E1886" s="8">
        <f>IF(A1886="","",N(C1886)-N(D1886))</f>
        <v/>
      </c>
    </row>
    <row r="1887" spans="5:5">
      <c r="E1887" s="8">
        <f>IF(A1887="","",N(C1887)-N(D1887))</f>
        <v/>
      </c>
    </row>
    <row r="1888" spans="5:5">
      <c r="E1888" s="8">
        <f>IF(A1888="","",N(C1888)-N(D1888))</f>
        <v/>
      </c>
    </row>
    <row r="1889" spans="5:5">
      <c r="E1889" s="8">
        <f>IF(A1889="","",N(C1889)-N(D1889))</f>
        <v/>
      </c>
    </row>
    <row r="1890" spans="5:5">
      <c r="E1890" s="8">
        <f>IF(A1890="","",N(C1890)-N(D1890))</f>
        <v/>
      </c>
    </row>
    <row r="1891" spans="5:5">
      <c r="E1891" s="8">
        <f>IF(A1891="","",N(C1891)-N(D1891))</f>
        <v/>
      </c>
    </row>
    <row r="1892" spans="5:5">
      <c r="E1892" s="8">
        <f>IF(A1892="","",N(C1892)-N(D1892))</f>
        <v/>
      </c>
    </row>
    <row r="1893" spans="5:5">
      <c r="E1893" s="8">
        <f>IF(A1893="","",N(C1893)-N(D1893))</f>
        <v/>
      </c>
    </row>
    <row r="1894" spans="5:5">
      <c r="E1894" s="8">
        <f>IF(A1894="","",N(C1894)-N(D1894))</f>
        <v/>
      </c>
    </row>
    <row r="1895" spans="5:5">
      <c r="E1895" s="8">
        <f>IF(A1895="","",N(C1895)-N(D1895))</f>
        <v/>
      </c>
    </row>
    <row r="1896" spans="5:5">
      <c r="E1896" s="8">
        <f>IF(A1896="","",N(C1896)-N(D1896))</f>
        <v/>
      </c>
    </row>
    <row r="1897" spans="5:5">
      <c r="E1897" s="8">
        <f>IF(A1897="","",N(C1897)-N(D1897))</f>
        <v/>
      </c>
    </row>
    <row r="1898" spans="5:5">
      <c r="E1898" s="8">
        <f>IF(A1898="","",N(C1898)-N(D1898))</f>
        <v/>
      </c>
    </row>
    <row r="1899" spans="5:5">
      <c r="E1899" s="8">
        <f>IF(A1899="","",N(C1899)-N(D1899))</f>
        <v/>
      </c>
    </row>
    <row r="1900" spans="5:5">
      <c r="E1900" s="8">
        <f>IF(A1900="","",N(C1900)-N(D1900))</f>
        <v/>
      </c>
    </row>
    <row r="1901" spans="5:5">
      <c r="E1901" s="8">
        <f>IF(A1901="","",N(C1901)-N(D1901))</f>
        <v/>
      </c>
    </row>
    <row r="1902" spans="5:5">
      <c r="E1902" s="8">
        <f>IF(A1902="","",N(C1902)-N(D1902))</f>
        <v/>
      </c>
    </row>
    <row r="1903" spans="5:5">
      <c r="E1903" s="8">
        <f>IF(A1903="","",N(C1903)-N(D1903))</f>
        <v/>
      </c>
    </row>
    <row r="1904" spans="5:5">
      <c r="E1904" s="8">
        <f>IF(A1904="","",N(C1904)-N(D1904))</f>
        <v/>
      </c>
    </row>
    <row r="1905" spans="5:5">
      <c r="E1905" s="8">
        <f>IF(A1905="","",N(C1905)-N(D1905))</f>
        <v/>
      </c>
    </row>
    <row r="1906" spans="5:5">
      <c r="E1906" s="8">
        <f>IF(A1906="","",N(C1906)-N(D1906))</f>
        <v/>
      </c>
    </row>
    <row r="1907" spans="5:5">
      <c r="E1907" s="8">
        <f>IF(A1907="","",N(C1907)-N(D1907))</f>
        <v/>
      </c>
    </row>
    <row r="1908" spans="5:5">
      <c r="E1908" s="8">
        <f>IF(A1908="","",N(C1908)-N(D1908))</f>
        <v/>
      </c>
    </row>
    <row r="1909" spans="5:5">
      <c r="E1909" s="8">
        <f>IF(A1909="","",N(C1909)-N(D1909))</f>
        <v/>
      </c>
    </row>
    <row r="1910" spans="5:5">
      <c r="E1910" s="8">
        <f>IF(A1910="","",N(C1910)-N(D1910))</f>
        <v/>
      </c>
    </row>
    <row r="1911" spans="5:5">
      <c r="E1911" s="8">
        <f>IF(A1911="","",N(C1911)-N(D1911))</f>
        <v/>
      </c>
    </row>
    <row r="1912" spans="5:5">
      <c r="E1912" s="8">
        <f>IF(A1912="","",N(C1912)-N(D1912))</f>
        <v/>
      </c>
    </row>
    <row r="1913" spans="5:5">
      <c r="E1913" s="8">
        <f>IF(A1913="","",N(C1913)-N(D1913))</f>
        <v/>
      </c>
    </row>
    <row r="1914" spans="5:5">
      <c r="E1914" s="8">
        <f>IF(A1914="","",N(C1914)-N(D1914))</f>
        <v/>
      </c>
    </row>
    <row r="1915" spans="5:5">
      <c r="E1915" s="8">
        <f>IF(A1915="","",N(C1915)-N(D1915))</f>
        <v/>
      </c>
    </row>
    <row r="1916" spans="5:5">
      <c r="E1916" s="8">
        <f>IF(A1916="","",N(C1916)-N(D1916))</f>
        <v/>
      </c>
    </row>
    <row r="1917" spans="5:5">
      <c r="E1917" s="8">
        <f>IF(A1917="","",N(C1917)-N(D1917))</f>
        <v/>
      </c>
    </row>
    <row r="1918" spans="5:5">
      <c r="E1918" s="8">
        <f>IF(A1918="","",N(C1918)-N(D1918))</f>
        <v/>
      </c>
    </row>
    <row r="1919" spans="5:5">
      <c r="E1919" s="8">
        <f>IF(A1919="","",N(C1919)-N(D1919))</f>
        <v/>
      </c>
    </row>
    <row r="1920" spans="5:5">
      <c r="E1920" s="8">
        <f>IF(A1920="","",N(C1920)-N(D1920))</f>
        <v/>
      </c>
    </row>
    <row r="1921" spans="5:5">
      <c r="E1921" s="8">
        <f>IF(A1921="","",N(C1921)-N(D1921))</f>
        <v/>
      </c>
    </row>
    <row r="1922" spans="5:5">
      <c r="E1922" s="8">
        <f>IF(A1922="","",N(C1922)-N(D1922))</f>
        <v/>
      </c>
    </row>
    <row r="1923" spans="5:5">
      <c r="E1923" s="8">
        <f>IF(A1923="","",N(C1923)-N(D1923))</f>
        <v/>
      </c>
    </row>
    <row r="1924" spans="5:5">
      <c r="E1924" s="8">
        <f>IF(A1924="","",N(C1924)-N(D1924))</f>
        <v/>
      </c>
    </row>
    <row r="1925" spans="5:5">
      <c r="E1925" s="8">
        <f>IF(A1925="","",N(C1925)-N(D1925))</f>
        <v/>
      </c>
    </row>
    <row r="1926" spans="5:5">
      <c r="E1926" s="8">
        <f>IF(A1926="","",N(C1926)-N(D1926))</f>
        <v/>
      </c>
    </row>
    <row r="1927" spans="5:5">
      <c r="E1927" s="8">
        <f>IF(A1927="","",N(C1927)-N(D1927))</f>
        <v/>
      </c>
    </row>
    <row r="1928" spans="5:5">
      <c r="E1928" s="8">
        <f>IF(A1928="","",N(C1928)-N(D1928))</f>
        <v/>
      </c>
    </row>
    <row r="1929" spans="5:5">
      <c r="E1929" s="8">
        <f>IF(A1929="","",N(C1929)-N(D1929))</f>
        <v/>
      </c>
    </row>
    <row r="1930" spans="5:5">
      <c r="E1930" s="8">
        <f>IF(A1930="","",N(C1930)-N(D1930))</f>
        <v/>
      </c>
    </row>
    <row r="1931" spans="5:5">
      <c r="E1931" s="8">
        <f>IF(A1931="","",N(C1931)-N(D1931))</f>
        <v/>
      </c>
    </row>
    <row r="1932" spans="5:5">
      <c r="E1932" s="8">
        <f>IF(A1932="","",N(C1932)-N(D1932))</f>
        <v/>
      </c>
    </row>
    <row r="1933" spans="5:5">
      <c r="E1933" s="8">
        <f>IF(A1933="","",N(C1933)-N(D1933))</f>
        <v/>
      </c>
    </row>
    <row r="1934" spans="5:5">
      <c r="E1934" s="8">
        <f>IF(A1934="","",N(C1934)-N(D1934))</f>
        <v/>
      </c>
    </row>
    <row r="1935" spans="5:5">
      <c r="E1935" s="8">
        <f>IF(A1935="","",N(C1935)-N(D1935))</f>
        <v/>
      </c>
    </row>
    <row r="1936" spans="5:5">
      <c r="E1936" s="8">
        <f>IF(A1936="","",N(C1936)-N(D1936))</f>
        <v/>
      </c>
    </row>
    <row r="1937" spans="5:5">
      <c r="E1937" s="8">
        <f>IF(A1937="","",N(C1937)-N(D1937))</f>
        <v/>
      </c>
    </row>
    <row r="1938" spans="5:5">
      <c r="E1938" s="8">
        <f>IF(A1938="","",N(C1938)-N(D1938))</f>
        <v/>
      </c>
    </row>
    <row r="1939" spans="5:5">
      <c r="E1939" s="8">
        <f>IF(A1939="","",N(C1939)-N(D1939))</f>
        <v/>
      </c>
    </row>
    <row r="1940" spans="5:5">
      <c r="E1940" s="8">
        <f>IF(A1940="","",N(C1940)-N(D1940))</f>
        <v/>
      </c>
    </row>
    <row r="1941" spans="5:5">
      <c r="E1941" s="8">
        <f>IF(A1941="","",N(C1941)-N(D1941))</f>
        <v/>
      </c>
    </row>
    <row r="1942" spans="5:5">
      <c r="E1942" s="8">
        <f>IF(A1942="","",N(C1942)-N(D1942))</f>
        <v/>
      </c>
    </row>
    <row r="1943" spans="5:5">
      <c r="E1943" s="8">
        <f>IF(A1943="","",N(C1943)-N(D1943))</f>
        <v/>
      </c>
    </row>
    <row r="1944" spans="5:5">
      <c r="E1944" s="8">
        <f>IF(A1944="","",N(C1944)-N(D1944))</f>
        <v/>
      </c>
    </row>
    <row r="1945" spans="5:5">
      <c r="E1945" s="8">
        <f>IF(A1945="","",N(C1945)-N(D1945))</f>
        <v/>
      </c>
    </row>
    <row r="1946" spans="5:5">
      <c r="E1946" s="8">
        <f>IF(A1946="","",N(C1946)-N(D1946))</f>
        <v/>
      </c>
    </row>
    <row r="1947" spans="5:5">
      <c r="E1947" s="8">
        <f>IF(A1947="","",N(C1947)-N(D1947))</f>
        <v/>
      </c>
    </row>
    <row r="1948" spans="5:5">
      <c r="E1948" s="8">
        <f>IF(A1948="","",N(C1948)-N(D1948))</f>
        <v/>
      </c>
    </row>
    <row r="1949" spans="5:5">
      <c r="E1949" s="8">
        <f>IF(A1949="","",N(C1949)-N(D1949))</f>
        <v/>
      </c>
    </row>
    <row r="1950" spans="5:5">
      <c r="E1950" s="8">
        <f>IF(A1950="","",N(C1950)-N(D1950))</f>
        <v/>
      </c>
    </row>
    <row r="1951" spans="5:5">
      <c r="E1951" s="8">
        <f>IF(A1951="","",N(C1951)-N(D1951))</f>
        <v/>
      </c>
    </row>
    <row r="1952" spans="5:5">
      <c r="E1952" s="8">
        <f>IF(A1952="","",N(C1952)-N(D1952))</f>
        <v/>
      </c>
    </row>
    <row r="1953" spans="5:5">
      <c r="E1953" s="8">
        <f>IF(A1953="","",N(C1953)-N(D1953))</f>
        <v/>
      </c>
    </row>
    <row r="1954" spans="5:5">
      <c r="E1954" s="8">
        <f>IF(A1954="","",N(C1954)-N(D1954))</f>
        <v/>
      </c>
    </row>
    <row r="1955" spans="5:5">
      <c r="E1955" s="8">
        <f>IF(A1955="","",N(C1955)-N(D1955))</f>
        <v/>
      </c>
    </row>
    <row r="1956" spans="5:5">
      <c r="E1956" s="8">
        <f>IF(A1956="","",N(C1956)-N(D1956))</f>
        <v/>
      </c>
    </row>
    <row r="1957" spans="5:5">
      <c r="E1957" s="8">
        <f>IF(A1957="","",N(C1957)-N(D1957))</f>
        <v/>
      </c>
    </row>
    <row r="1958" spans="5:5">
      <c r="E1958" s="8">
        <f>IF(A1958="","",N(C1958)-N(D1958))</f>
        <v/>
      </c>
    </row>
    <row r="1959" spans="5:5">
      <c r="E1959" s="8">
        <f>IF(A1959="","",N(C1959)-N(D1959))</f>
        <v/>
      </c>
    </row>
    <row r="1960" spans="5:5">
      <c r="E1960" s="8">
        <f>IF(A1960="","",N(C1960)-N(D1960))</f>
        <v/>
      </c>
    </row>
    <row r="1961" spans="5:5">
      <c r="E1961" s="8">
        <f>IF(A1961="","",N(C1961)-N(D1961))</f>
        <v/>
      </c>
    </row>
    <row r="1962" spans="5:5">
      <c r="E1962" s="8">
        <f>IF(A1962="","",N(C1962)-N(D1962))</f>
        <v/>
      </c>
    </row>
    <row r="1963" spans="5:5">
      <c r="E1963" s="8">
        <f>IF(A1963="","",N(C1963)-N(D1963))</f>
        <v/>
      </c>
    </row>
    <row r="1964" spans="5:5">
      <c r="E1964" s="8">
        <f>IF(A1964="","",N(C1964)-N(D1964))</f>
        <v/>
      </c>
    </row>
    <row r="1965" spans="5:5">
      <c r="E1965" s="8">
        <f>IF(A1965="","",N(C1965)-N(D1965))</f>
        <v/>
      </c>
    </row>
    <row r="1966" spans="5:5">
      <c r="E1966" s="8">
        <f>IF(A1966="","",N(C1966)-N(D1966))</f>
        <v/>
      </c>
    </row>
    <row r="1967" spans="5:5">
      <c r="E1967" s="8">
        <f>IF(A1967="","",N(C1967)-N(D1967))</f>
        <v/>
      </c>
    </row>
    <row r="1968" spans="5:5">
      <c r="E1968" s="8">
        <f>IF(A1968="","",N(C1968)-N(D1968))</f>
        <v/>
      </c>
    </row>
    <row r="1969" spans="5:5">
      <c r="E1969" s="8">
        <f>IF(A1969="","",N(C1969)-N(D1969))</f>
        <v/>
      </c>
    </row>
    <row r="1970" spans="5:5">
      <c r="E1970" s="8">
        <f>IF(A1970="","",N(C1970)-N(D1970))</f>
        <v/>
      </c>
    </row>
    <row r="1971" spans="5:5">
      <c r="E1971" s="8">
        <f>IF(A1971="","",N(C1971)-N(D1971))</f>
        <v/>
      </c>
    </row>
    <row r="1972" spans="5:5">
      <c r="E1972" s="8">
        <f>IF(A1972="","",N(C1972)-N(D1972))</f>
        <v/>
      </c>
    </row>
    <row r="1973" spans="5:5">
      <c r="E1973" s="8">
        <f>IF(A1973="","",N(C1973)-N(D1973))</f>
        <v/>
      </c>
    </row>
    <row r="1974" spans="5:5">
      <c r="E1974" s="8">
        <f>IF(A1974="","",N(C1974)-N(D1974))</f>
        <v/>
      </c>
    </row>
    <row r="1975" spans="5:5">
      <c r="E1975" s="8">
        <f>IF(A1975="","",N(C1975)-N(D1975))</f>
        <v/>
      </c>
    </row>
    <row r="1976" spans="5:5">
      <c r="E1976" s="8">
        <f>IF(A1976="","",N(C1976)-N(D1976))</f>
        <v/>
      </c>
    </row>
    <row r="1977" spans="5:5">
      <c r="E1977" s="8">
        <f>IF(A1977="","",N(C1977)-N(D1977))</f>
        <v/>
      </c>
    </row>
    <row r="1978" spans="5:5">
      <c r="E1978" s="8">
        <f>IF(A1978="","",N(C1978)-N(D1978))</f>
        <v/>
      </c>
    </row>
    <row r="1979" spans="5:5">
      <c r="E1979" s="8">
        <f>IF(A1979="","",N(C1979)-N(D1979))</f>
        <v/>
      </c>
    </row>
    <row r="1980" spans="5:5">
      <c r="E1980" s="8">
        <f>IF(A1980="","",N(C1980)-N(D1980))</f>
        <v/>
      </c>
    </row>
    <row r="1981" spans="5:5">
      <c r="E1981" s="8">
        <f>IF(A1981="","",N(C1981)-N(D1981))</f>
        <v/>
      </c>
    </row>
    <row r="1982" spans="5:5">
      <c r="E1982" s="8">
        <f>IF(A1982="","",N(C1982)-N(D1982))</f>
        <v/>
      </c>
    </row>
    <row r="1983" spans="5:5">
      <c r="E1983" s="8">
        <f>IF(A1983="","",N(C1983)-N(D1983))</f>
        <v/>
      </c>
    </row>
    <row r="1984" spans="5:5">
      <c r="E1984" s="8">
        <f>IF(A1984="","",N(C1984)-N(D1984))</f>
        <v/>
      </c>
    </row>
    <row r="1985" spans="5:5">
      <c r="E1985" s="8">
        <f>IF(A1985="","",N(C1985)-N(D1985))</f>
        <v/>
      </c>
    </row>
    <row r="1986" spans="5:5">
      <c r="E1986" s="8">
        <f>IF(A1986="","",N(C1986)-N(D1986))</f>
        <v/>
      </c>
    </row>
    <row r="1987" spans="5:5">
      <c r="E1987" s="8">
        <f>IF(A1987="","",N(C1987)-N(D1987))</f>
        <v/>
      </c>
    </row>
    <row r="1988" spans="5:5">
      <c r="E1988" s="8">
        <f>IF(A1988="","",N(C1988)-N(D1988))</f>
        <v/>
      </c>
    </row>
    <row r="1989" spans="5:5">
      <c r="E1989" s="8">
        <f>IF(A1989="","",N(C1989)-N(D1989))</f>
        <v/>
      </c>
    </row>
    <row r="1990" spans="5:5">
      <c r="E1990" s="8">
        <f>IF(A1990="","",N(C1990)-N(D1990))</f>
        <v/>
      </c>
    </row>
    <row r="1991" spans="5:5">
      <c r="E1991" s="8">
        <f>IF(A1991="","",N(C1991)-N(D1991))</f>
        <v/>
      </c>
    </row>
    <row r="1992" spans="5:5">
      <c r="E1992" s="8">
        <f>IF(A1992="","",N(C1992)-N(D1992))</f>
        <v/>
      </c>
    </row>
    <row r="1993" spans="5:5">
      <c r="E1993" s="8">
        <f>IF(A1993="","",N(C1993)-N(D1993))</f>
        <v/>
      </c>
    </row>
    <row r="1994" spans="5:5">
      <c r="E1994" s="8">
        <f>IF(A1994="","",N(C1994)-N(D1994))</f>
        <v/>
      </c>
    </row>
    <row r="1995" spans="5:5">
      <c r="E1995" s="8">
        <f>IF(A1995="","",N(C1995)-N(D1995))</f>
        <v/>
      </c>
    </row>
    <row r="1996" spans="5:5">
      <c r="E1996" s="8">
        <f>IF(A1996="","",N(C1996)-N(D1996))</f>
        <v/>
      </c>
    </row>
    <row r="1997" spans="5:5">
      <c r="E1997" s="8">
        <f>IF(A1997="","",N(C1997)-N(D1997))</f>
        <v/>
      </c>
    </row>
    <row r="1998" spans="5:5">
      <c r="E1998" s="8">
        <f>IF(A1998="","",N(C1998)-N(D1998))</f>
        <v/>
      </c>
    </row>
    <row r="1999" spans="5:5">
      <c r="E1999" s="8">
        <f>IF(A1999="","",N(C1999)-N(D1999))</f>
        <v/>
      </c>
    </row>
    <row r="2000" spans="5:5">
      <c r="E2000" s="8">
        <f>IF(A2000="","",N(C2000)-N(D2000))</f>
        <v/>
      </c>
    </row>
    <row r="2001" spans="5:5">
      <c r="E2001" s="8">
        <f>IF(A2001="","",N(C2001)-N(D2001))</f>
        <v/>
      </c>
    </row>
    <row r="2002" spans="5:5">
      <c r="E2002" s="8">
        <f>IF(A2002="","",N(C2002)-N(D2002))</f>
        <v/>
      </c>
    </row>
    <row r="2003" spans="5:5">
      <c r="E2003" s="8">
        <f>IF(A2003="","",N(C2003)-N(D2003))</f>
        <v/>
      </c>
    </row>
    <row r="2004" spans="5:5">
      <c r="E2004" s="8">
        <f>IF(A2004="","",N(C2004)-N(D2004))</f>
        <v/>
      </c>
    </row>
    <row r="2005" spans="5:5">
      <c r="E2005" s="8">
        <f>IF(A2005="","",N(C2005)-N(D2005))</f>
        <v/>
      </c>
    </row>
    <row r="2006" spans="5:5">
      <c r="E2006" s="8">
        <f>IF(A2006="","",N(C2006)-N(D2006))</f>
        <v/>
      </c>
    </row>
  </sheetData>
  <mergeCells count="2">
    <mergeCell ref="A2:F2"/>
    <mergeCell ref="A3:F4"/>
  </mergeCells>
  <conditionalFormatting sqref="A7:F2006">
    <cfRule type="expression" dxfId="0" priority="1">
      <formula>AND($A7="",OR($C7&gt;0,$D7&gt;0))</formula>
    </cfRule>
  </conditionalFormatting>
  <dataValidations count="3">
    <dataValidation type="date" allowBlank="1" showInputMessage="1" showErrorMessage="1" error="Enter a valid date." sqref="A7:A2006">
      <formula1>36526</formula1>
      <formula2>73415</formula2>
    </dataValidation>
    <dataValidation type="list" errorStyle="warning" allowBlank="1" showInputMessage="1" showErrorMessage="1" sqref="B7:B2006">
      <formula1>"Salary,Other income,Food,Transport,Shopping,Health,Leisure,Other"</formula1>
    </dataValidation>
    <dataValidation type="decimal" allowBlank="1" showInputMessage="1" showErrorMessage="1" error="Enter a positive amount or zero. Do not enter minus signs." sqref="C7:D2006">
      <formula1>0</formula1>
      <formula2>1000000000.0</formula2>
    </dataValidation>
  </dataValidations>
  <pageMargins left="0.3" right="0.3" top="0.4" bottom="0.4" header="0.3" footer="0.3"/>
  <pageSetup orientation="landscape"/>
  <headerFooter>
    <oddHeader>&amp;LIncome &amp; expenses · CZK&amp;R&amp;P / &amp;N</oddHeader>
    <oddFooter>&amp;LBlue cells = editable inputs</oddFooter>
  </headerFooter>
  <tableParts count="1">
    <tablePart r:id="rId1"/>
  </tableParts>
</worksheet>
</file>

<file path=xl/worksheets/sheet3.xml><?xml version="1.0" encoding="utf-8"?>
<worksheet xmlns="http://schemas.openxmlformats.org/spreadsheetml/2006/main" xmlns:r="http://schemas.openxmlformats.org/officeDocument/2006/relationships">
  <sheetPr>
    <tabColor rgb="FF1769AA"/>
    <pageSetUpPr fitToPage="1"/>
  </sheetPr>
  <dimension ref="A2:C37"/>
  <sheetViews>
    <sheetView showGridLines="0" workbookViewId="0">
      <pane ySplit="6" topLeftCell="A7" activePane="bottomLeft" state="frozen"/>
      <selection pane="bottomLeft"/>
    </sheetView>
  </sheetViews>
  <sheetFormatPr defaultRowHeight="15"/>
  <cols>
    <col min="1" max="1" width="31.7109375" customWidth="1"/>
    <col min="2" max="2" width="23.7109375" customWidth="1"/>
    <col min="3" max="3" width="48.7109375" customWidth="1"/>
  </cols>
  <sheetData>
    <row r="2" spans="1:3">
      <c r="A2" s="1" t="s">
        <v>23</v>
      </c>
      <c r="B2" s="1"/>
      <c r="C2" s="1"/>
    </row>
    <row r="3" spans="1:3">
      <c r="A3" s="2" t="s">
        <v>24</v>
      </c>
      <c r="B3" s="2"/>
      <c r="C3" s="2"/>
    </row>
    <row r="4" spans="1:3">
      <c r="A4" s="2"/>
      <c r="B4" s="2"/>
      <c r="C4" s="2"/>
    </row>
    <row r="6" spans="1:3">
      <c r="A6" t="s">
        <v>25</v>
      </c>
      <c r="B6" t="s">
        <v>26</v>
      </c>
      <c r="C6" t="s">
        <v>27</v>
      </c>
    </row>
    <row r="7" spans="1:3">
      <c r="A7" s="9" t="s">
        <v>28</v>
      </c>
      <c r="B7" s="5">
        <v>19500</v>
      </c>
      <c r="C7" s="9" t="s">
        <v>29</v>
      </c>
    </row>
    <row r="8" spans="1:3">
      <c r="A8" s="9" t="s">
        <v>30</v>
      </c>
      <c r="B8" s="5">
        <v>447</v>
      </c>
      <c r="C8" s="9" t="s">
        <v>29</v>
      </c>
    </row>
    <row r="9" spans="1:3">
      <c r="A9" s="9" t="s">
        <v>31</v>
      </c>
      <c r="B9" s="5">
        <v>10670</v>
      </c>
      <c r="C9" s="9" t="s">
        <v>29</v>
      </c>
    </row>
    <row r="37" spans="1:2" ht="33" customHeight="1">
      <c r="A37" s="3" t="s">
        <v>32</v>
      </c>
      <c r="B37" s="6">
        <f>SUM(B7:B35)</f>
        <v>30617</v>
      </c>
    </row>
  </sheetData>
  <mergeCells count="2">
    <mergeCell ref="A2:C2"/>
    <mergeCell ref="A3:C4"/>
  </mergeCells>
  <dataValidations count="1">
    <dataValidation type="decimal" allowBlank="1" showInputMessage="1" showErrorMessage="1" error="Enter a monthly amount of zero or more." sqref="B7:B35">
      <formula1>0</formula1>
      <formula2>1000000000.0</formula2>
    </dataValidation>
  </dataValidations>
  <pageMargins left="0.3" right="0.3" top="0.4" bottom="0.4" header="0.3" footer="0.3"/>
  <pageSetup orientation="landscape"/>
  <headerFooter>
    <oddHeader>&amp;LIncome &amp; expenses · CZK&amp;R&amp;P / &amp;N</oddHeader>
    <oddFooter>&amp;LBlue cells = editable inputs</oddFooter>
  </headerFooter>
  <tableParts count="1">
    <tablePart r:id="rId1"/>
  </tableParts>
</worksheet>
</file>

<file path=xl/worksheets/sheet4.xml><?xml version="1.0" encoding="utf-8"?>
<worksheet xmlns="http://schemas.openxmlformats.org/spreadsheetml/2006/main" xmlns:r="http://schemas.openxmlformats.org/officeDocument/2006/relationships">
  <sheetPr>
    <tabColor rgb="FF1769AA"/>
    <pageSetUpPr fitToPage="1"/>
  </sheetPr>
  <dimension ref="A2:G39"/>
  <sheetViews>
    <sheetView showGridLines="0" workbookViewId="0">
      <pane xSplit="1" ySplit="6" topLeftCell="B7" activePane="bottomRight" state="frozen"/>
      <selection pane="topRight" activeCell="B1" sqref="B1"/>
      <selection pane="bottomLeft" activeCell="A7" sqref="A7"/>
      <selection pane="bottomRight"/>
    </sheetView>
  </sheetViews>
  <sheetFormatPr defaultRowHeight="15"/>
  <cols>
    <col min="1" max="1" width="21.7109375" customWidth="1"/>
    <col min="2" max="6" width="23.7109375" customWidth="1"/>
    <col min="7" max="7" width="26.7109375" customWidth="1"/>
  </cols>
  <sheetData>
    <row r="2" spans="1:7">
      <c r="A2" s="1" t="s">
        <v>33</v>
      </c>
      <c r="B2" s="1"/>
      <c r="C2" s="1"/>
      <c r="D2" s="1"/>
      <c r="E2" s="1"/>
      <c r="F2" s="1"/>
      <c r="G2" s="1"/>
    </row>
    <row r="3" spans="1:7">
      <c r="A3" s="2" t="s">
        <v>34</v>
      </c>
      <c r="B3" s="2"/>
      <c r="C3" s="2"/>
      <c r="D3" s="2"/>
      <c r="E3" s="2"/>
      <c r="F3" s="2"/>
      <c r="G3" s="2"/>
    </row>
    <row r="4" spans="1:7">
      <c r="A4" s="2"/>
      <c r="B4" s="2"/>
      <c r="C4" s="2"/>
      <c r="D4" s="2"/>
      <c r="E4" s="2"/>
      <c r="F4" s="2"/>
      <c r="G4" s="2"/>
    </row>
    <row r="6" spans="1:7" ht="38" customHeight="1">
      <c r="A6" s="10" t="s">
        <v>17</v>
      </c>
      <c r="B6" s="10" t="s">
        <v>19</v>
      </c>
      <c r="C6" s="10" t="s">
        <v>35</v>
      </c>
      <c r="D6" s="10" t="s">
        <v>36</v>
      </c>
      <c r="E6" s="10" t="s">
        <v>37</v>
      </c>
      <c r="F6" s="10" t="s">
        <v>38</v>
      </c>
      <c r="G6" s="10" t="s">
        <v>39</v>
      </c>
    </row>
    <row r="7" spans="1:7">
      <c r="A7" s="11">
        <f>IF(1&lt;=DAY(EOMONTH(MonthStart,0)),MonthStart+0,"")</f>
        <v>46296</v>
      </c>
      <c r="B7" s="8">
        <f>IF($A7="","",SUMIFS('Daily entries'!$C$7:$C$2006,'Daily entries'!$A$7:$A$2006,"&gt;="&amp;$A7,'Daily entries'!$A$7:$A$2006,"&lt;"&amp;$A7+1))</f>
        <v>0</v>
      </c>
      <c r="C7" s="8">
        <f>IF($A7="","",SUMIFS('Daily entries'!$D$7:$D$2006,'Daily entries'!$A$7:$A$2006,"&gt;="&amp;$A7,'Daily entries'!$A$7:$A$2006,"&lt;"&amp;$A7+1))</f>
        <v>0</v>
      </c>
      <c r="D7" s="8">
        <f>IF(A7="","",B7-C7)</f>
        <v>0</v>
      </c>
      <c r="E7" s="8">
        <f>IF(A7="","",FixedTotal/DAY(EOMONTH(MonthStart,0)))</f>
        <v>987.6451612903226</v>
      </c>
      <c r="F7" s="8">
        <f>IF(A7="","",D7-E7)</f>
        <v>-987.6451612903226</v>
      </c>
      <c r="G7" s="8">
        <f>IF(A7="","",Overview!$C$6+SUM($F$7:F7))</f>
        <v>-987.6451612903226</v>
      </c>
    </row>
    <row r="8" spans="1:7">
      <c r="A8" s="11">
        <f>IF(2&lt;=DAY(EOMONTH(MonthStart,0)),MonthStart+1,"")</f>
        <v>46297</v>
      </c>
      <c r="B8" s="8">
        <f>IF($A8="","",SUMIFS('Daily entries'!$C$7:$C$2006,'Daily entries'!$A$7:$A$2006,"&gt;="&amp;$A8,'Daily entries'!$A$7:$A$2006,"&lt;"&amp;$A8+1))</f>
        <v>0</v>
      </c>
      <c r="C8" s="8">
        <f>IF($A8="","",SUMIFS('Daily entries'!$D$7:$D$2006,'Daily entries'!$A$7:$A$2006,"&gt;="&amp;$A8,'Daily entries'!$A$7:$A$2006,"&lt;"&amp;$A8+1))</f>
        <v>0</v>
      </c>
      <c r="D8" s="8">
        <f>IF(A8="","",B8-C8)</f>
        <v>0</v>
      </c>
      <c r="E8" s="8">
        <f>IF(A8="","",FixedTotal/DAY(EOMONTH(MonthStart,0)))</f>
        <v>987.6451612903226</v>
      </c>
      <c r="F8" s="8">
        <f>IF(A8="","",D8-E8)</f>
        <v>-987.6451612903226</v>
      </c>
      <c r="G8" s="8">
        <f>IF(A8="","",Overview!$C$6+SUM($F$7:F8))</f>
        <v>-1975.2903225806451</v>
      </c>
    </row>
    <row r="9" spans="1:7">
      <c r="A9" s="11">
        <f>IF(3&lt;=DAY(EOMONTH(MonthStart,0)),MonthStart+2,"")</f>
        <v>46298</v>
      </c>
      <c r="B9" s="8">
        <f>IF($A9="","",SUMIFS('Daily entries'!$C$7:$C$2006,'Daily entries'!$A$7:$A$2006,"&gt;="&amp;$A9,'Daily entries'!$A$7:$A$2006,"&lt;"&amp;$A9+1))</f>
        <v>0</v>
      </c>
      <c r="C9" s="8">
        <f>IF($A9="","",SUMIFS('Daily entries'!$D$7:$D$2006,'Daily entries'!$A$7:$A$2006,"&gt;="&amp;$A9,'Daily entries'!$A$7:$A$2006,"&lt;"&amp;$A9+1))</f>
        <v>0</v>
      </c>
      <c r="D9" s="8">
        <f>IF(A9="","",B9-C9)</f>
        <v>0</v>
      </c>
      <c r="E9" s="8">
        <f>IF(A9="","",FixedTotal/DAY(EOMONTH(MonthStart,0)))</f>
        <v>987.6451612903226</v>
      </c>
      <c r="F9" s="8">
        <f>IF(A9="","",D9-E9)</f>
        <v>-987.6451612903226</v>
      </c>
      <c r="G9" s="8">
        <f>IF(A9="","",Overview!$C$6+SUM($F$7:F9))</f>
        <v>-2962.935483870968</v>
      </c>
    </row>
    <row r="10" spans="1:7">
      <c r="A10" s="11">
        <f>IF(4&lt;=DAY(EOMONTH(MonthStart,0)),MonthStart+3,"")</f>
        <v>46299</v>
      </c>
      <c r="B10" s="8">
        <f>IF($A10="","",SUMIFS('Daily entries'!$C$7:$C$2006,'Daily entries'!$A$7:$A$2006,"&gt;="&amp;$A10,'Daily entries'!$A$7:$A$2006,"&lt;"&amp;$A10+1))</f>
        <v>0</v>
      </c>
      <c r="C10" s="8">
        <f>IF($A10="","",SUMIFS('Daily entries'!$D$7:$D$2006,'Daily entries'!$A$7:$A$2006,"&gt;="&amp;$A10,'Daily entries'!$A$7:$A$2006,"&lt;"&amp;$A10+1))</f>
        <v>0</v>
      </c>
      <c r="D10" s="8">
        <f>IF(A10="","",B10-C10)</f>
        <v>0</v>
      </c>
      <c r="E10" s="8">
        <f>IF(A10="","",FixedTotal/DAY(EOMONTH(MonthStart,0)))</f>
        <v>987.6451612903226</v>
      </c>
      <c r="F10" s="8">
        <f>IF(A10="","",D10-E10)</f>
        <v>-987.6451612903226</v>
      </c>
      <c r="G10" s="8">
        <f>IF(A10="","",Overview!$C$6+SUM($F$7:F10))</f>
        <v>-3950.5806451612902</v>
      </c>
    </row>
    <row r="11" spans="1:7">
      <c r="A11" s="11">
        <f>IF(5&lt;=DAY(EOMONTH(MonthStart,0)),MonthStart+4,"")</f>
        <v>46300</v>
      </c>
      <c r="B11" s="8">
        <f>IF($A11="","",SUMIFS('Daily entries'!$C$7:$C$2006,'Daily entries'!$A$7:$A$2006,"&gt;="&amp;$A11,'Daily entries'!$A$7:$A$2006,"&lt;"&amp;$A11+1))</f>
        <v>0</v>
      </c>
      <c r="C11" s="8">
        <f>IF($A11="","",SUMIFS('Daily entries'!$D$7:$D$2006,'Daily entries'!$A$7:$A$2006,"&gt;="&amp;$A11,'Daily entries'!$A$7:$A$2006,"&lt;"&amp;$A11+1))</f>
        <v>0</v>
      </c>
      <c r="D11" s="8">
        <f>IF(A11="","",B11-C11)</f>
        <v>0</v>
      </c>
      <c r="E11" s="8">
        <f>IF(A11="","",FixedTotal/DAY(EOMONTH(MonthStart,0)))</f>
        <v>987.6451612903226</v>
      </c>
      <c r="F11" s="8">
        <f>IF(A11="","",D11-E11)</f>
        <v>-987.6451612903226</v>
      </c>
      <c r="G11" s="8">
        <f>IF(A11="","",Overview!$C$6+SUM($F$7:F11))</f>
        <v>-4938.225806451613</v>
      </c>
    </row>
    <row r="12" spans="1:7">
      <c r="A12" s="11">
        <f>IF(6&lt;=DAY(EOMONTH(MonthStart,0)),MonthStart+5,"")</f>
        <v>46301</v>
      </c>
      <c r="B12" s="8">
        <f>IF($A12="","",SUMIFS('Daily entries'!$C$7:$C$2006,'Daily entries'!$A$7:$A$2006,"&gt;="&amp;$A12,'Daily entries'!$A$7:$A$2006,"&lt;"&amp;$A12+1))</f>
        <v>0</v>
      </c>
      <c r="C12" s="8">
        <f>IF($A12="","",SUMIFS('Daily entries'!$D$7:$D$2006,'Daily entries'!$A$7:$A$2006,"&gt;="&amp;$A12,'Daily entries'!$A$7:$A$2006,"&lt;"&amp;$A12+1))</f>
        <v>0</v>
      </c>
      <c r="D12" s="8">
        <f>IF(A12="","",B12-C12)</f>
        <v>0</v>
      </c>
      <c r="E12" s="8">
        <f>IF(A12="","",FixedTotal/DAY(EOMONTH(MonthStart,0)))</f>
        <v>987.6451612903226</v>
      </c>
      <c r="F12" s="8">
        <f>IF(A12="","",D12-E12)</f>
        <v>-987.6451612903226</v>
      </c>
      <c r="G12" s="8">
        <f>IF(A12="","",Overview!$C$6+SUM($F$7:F12))</f>
        <v>-5925.870967741936</v>
      </c>
    </row>
    <row r="13" spans="1:7">
      <c r="A13" s="11">
        <f>IF(7&lt;=DAY(EOMONTH(MonthStart,0)),MonthStart+6,"")</f>
        <v>46302</v>
      </c>
      <c r="B13" s="8">
        <f>IF($A13="","",SUMIFS('Daily entries'!$C$7:$C$2006,'Daily entries'!$A$7:$A$2006,"&gt;="&amp;$A13,'Daily entries'!$A$7:$A$2006,"&lt;"&amp;$A13+1))</f>
        <v>0</v>
      </c>
      <c r="C13" s="8">
        <f>IF($A13="","",SUMIFS('Daily entries'!$D$7:$D$2006,'Daily entries'!$A$7:$A$2006,"&gt;="&amp;$A13,'Daily entries'!$A$7:$A$2006,"&lt;"&amp;$A13+1))</f>
        <v>0</v>
      </c>
      <c r="D13" s="8">
        <f>IF(A13="","",B13-C13)</f>
        <v>0</v>
      </c>
      <c r="E13" s="8">
        <f>IF(A13="","",FixedTotal/DAY(EOMONTH(MonthStart,0)))</f>
        <v>987.6451612903226</v>
      </c>
      <c r="F13" s="8">
        <f>IF(A13="","",D13-E13)</f>
        <v>-987.6451612903226</v>
      </c>
      <c r="G13" s="8">
        <f>IF(A13="","",Overview!$C$6+SUM($F$7:F13))</f>
        <v>-6913.5161290322585</v>
      </c>
    </row>
    <row r="14" spans="1:7">
      <c r="A14" s="11">
        <f>IF(8&lt;=DAY(EOMONTH(MonthStart,0)),MonthStart+7,"")</f>
        <v>46303</v>
      </c>
      <c r="B14" s="8">
        <f>IF($A14="","",SUMIFS('Daily entries'!$C$7:$C$2006,'Daily entries'!$A$7:$A$2006,"&gt;="&amp;$A14,'Daily entries'!$A$7:$A$2006,"&lt;"&amp;$A14+1))</f>
        <v>0</v>
      </c>
      <c r="C14" s="8">
        <f>IF($A14="","",SUMIFS('Daily entries'!$D$7:$D$2006,'Daily entries'!$A$7:$A$2006,"&gt;="&amp;$A14,'Daily entries'!$A$7:$A$2006,"&lt;"&amp;$A14+1))</f>
        <v>0</v>
      </c>
      <c r="D14" s="8">
        <f>IF(A14="","",B14-C14)</f>
        <v>0</v>
      </c>
      <c r="E14" s="8">
        <f>IF(A14="","",FixedTotal/DAY(EOMONTH(MonthStart,0)))</f>
        <v>987.6451612903226</v>
      </c>
      <c r="F14" s="8">
        <f>IF(A14="","",D14-E14)</f>
        <v>-987.6451612903226</v>
      </c>
      <c r="G14" s="8">
        <f>IF(A14="","",Overview!$C$6+SUM($F$7:F14))</f>
        <v>-7901.1612903225805</v>
      </c>
    </row>
    <row r="15" spans="1:7">
      <c r="A15" s="11">
        <f>IF(9&lt;=DAY(EOMONTH(MonthStart,0)),MonthStart+8,"")</f>
        <v>46304</v>
      </c>
      <c r="B15" s="8">
        <f>IF($A15="","",SUMIFS('Daily entries'!$C$7:$C$2006,'Daily entries'!$A$7:$A$2006,"&gt;="&amp;$A15,'Daily entries'!$A$7:$A$2006,"&lt;"&amp;$A15+1))</f>
        <v>0</v>
      </c>
      <c r="C15" s="8">
        <f>IF($A15="","",SUMIFS('Daily entries'!$D$7:$D$2006,'Daily entries'!$A$7:$A$2006,"&gt;="&amp;$A15,'Daily entries'!$A$7:$A$2006,"&lt;"&amp;$A15+1))</f>
        <v>0</v>
      </c>
      <c r="D15" s="8">
        <f>IF(A15="","",B15-C15)</f>
        <v>0</v>
      </c>
      <c r="E15" s="8">
        <f>IF(A15="","",FixedTotal/DAY(EOMONTH(MonthStart,0)))</f>
        <v>987.6451612903226</v>
      </c>
      <c r="F15" s="8">
        <f>IF(A15="","",D15-E15)</f>
        <v>-987.6451612903226</v>
      </c>
      <c r="G15" s="8">
        <f>IF(A15="","",Overview!$C$6+SUM($F$7:F15))</f>
        <v>-8888.806451612903</v>
      </c>
    </row>
    <row r="16" spans="1:7">
      <c r="A16" s="11">
        <f>IF(10&lt;=DAY(EOMONTH(MonthStart,0)),MonthStart+9,"")</f>
        <v>46305</v>
      </c>
      <c r="B16" s="8">
        <f>IF($A16="","",SUMIFS('Daily entries'!$C$7:$C$2006,'Daily entries'!$A$7:$A$2006,"&gt;="&amp;$A16,'Daily entries'!$A$7:$A$2006,"&lt;"&amp;$A16+1))</f>
        <v>0</v>
      </c>
      <c r="C16" s="8">
        <f>IF($A16="","",SUMIFS('Daily entries'!$D$7:$D$2006,'Daily entries'!$A$7:$A$2006,"&gt;="&amp;$A16,'Daily entries'!$A$7:$A$2006,"&lt;"&amp;$A16+1))</f>
        <v>0</v>
      </c>
      <c r="D16" s="8">
        <f>IF(A16="","",B16-C16)</f>
        <v>0</v>
      </c>
      <c r="E16" s="8">
        <f>IF(A16="","",FixedTotal/DAY(EOMONTH(MonthStart,0)))</f>
        <v>987.6451612903226</v>
      </c>
      <c r="F16" s="8">
        <f>IF(A16="","",D16-E16)</f>
        <v>-987.6451612903226</v>
      </c>
      <c r="G16" s="8">
        <f>IF(A16="","",Overview!$C$6+SUM($F$7:F16))</f>
        <v>-9876.451612903225</v>
      </c>
    </row>
    <row r="17" spans="1:7">
      <c r="A17" s="11">
        <f>IF(11&lt;=DAY(EOMONTH(MonthStart,0)),MonthStart+10,"")</f>
        <v>46306</v>
      </c>
      <c r="B17" s="8">
        <f>IF($A17="","",SUMIFS('Daily entries'!$C$7:$C$2006,'Daily entries'!$A$7:$A$2006,"&gt;="&amp;$A17,'Daily entries'!$A$7:$A$2006,"&lt;"&amp;$A17+1))</f>
        <v>0</v>
      </c>
      <c r="C17" s="8">
        <f>IF($A17="","",SUMIFS('Daily entries'!$D$7:$D$2006,'Daily entries'!$A$7:$A$2006,"&gt;="&amp;$A17,'Daily entries'!$A$7:$A$2006,"&lt;"&amp;$A17+1))</f>
        <v>0</v>
      </c>
      <c r="D17" s="8">
        <f>IF(A17="","",B17-C17)</f>
        <v>0</v>
      </c>
      <c r="E17" s="8">
        <f>IF(A17="","",FixedTotal/DAY(EOMONTH(MonthStart,0)))</f>
        <v>987.6451612903226</v>
      </c>
      <c r="F17" s="8">
        <f>IF(A17="","",D17-E17)</f>
        <v>-987.6451612903226</v>
      </c>
      <c r="G17" s="8">
        <f>IF(A17="","",Overview!$C$6+SUM($F$7:F17))</f>
        <v>-10864.09677419355</v>
      </c>
    </row>
    <row r="18" spans="1:7">
      <c r="A18" s="11">
        <f>IF(12&lt;=DAY(EOMONTH(MonthStart,0)),MonthStart+11,"")</f>
        <v>46307</v>
      </c>
      <c r="B18" s="8">
        <f>IF($A18="","",SUMIFS('Daily entries'!$C$7:$C$2006,'Daily entries'!$A$7:$A$2006,"&gt;="&amp;$A18,'Daily entries'!$A$7:$A$2006,"&lt;"&amp;$A18+1))</f>
        <v>0</v>
      </c>
      <c r="C18" s="8">
        <f>IF($A18="","",SUMIFS('Daily entries'!$D$7:$D$2006,'Daily entries'!$A$7:$A$2006,"&gt;="&amp;$A18,'Daily entries'!$A$7:$A$2006,"&lt;"&amp;$A18+1))</f>
        <v>0</v>
      </c>
      <c r="D18" s="8">
        <f>IF(A18="","",B18-C18)</f>
        <v>0</v>
      </c>
      <c r="E18" s="8">
        <f>IF(A18="","",FixedTotal/DAY(EOMONTH(MonthStart,0)))</f>
        <v>987.6451612903226</v>
      </c>
      <c r="F18" s="8">
        <f>IF(A18="","",D18-E18)</f>
        <v>-987.6451612903226</v>
      </c>
      <c r="G18" s="8">
        <f>IF(A18="","",Overview!$C$6+SUM($F$7:F18))</f>
        <v>-11851.741935483871</v>
      </c>
    </row>
    <row r="19" spans="1:7">
      <c r="A19" s="11">
        <f>IF(13&lt;=DAY(EOMONTH(MonthStart,0)),MonthStart+12,"")</f>
        <v>46308</v>
      </c>
      <c r="B19" s="8">
        <f>IF($A19="","",SUMIFS('Daily entries'!$C$7:$C$2006,'Daily entries'!$A$7:$A$2006,"&gt;="&amp;$A19,'Daily entries'!$A$7:$A$2006,"&lt;"&amp;$A19+1))</f>
        <v>0</v>
      </c>
      <c r="C19" s="8">
        <f>IF($A19="","",SUMIFS('Daily entries'!$D$7:$D$2006,'Daily entries'!$A$7:$A$2006,"&gt;="&amp;$A19,'Daily entries'!$A$7:$A$2006,"&lt;"&amp;$A19+1))</f>
        <v>0</v>
      </c>
      <c r="D19" s="8">
        <f>IF(A19="","",B19-C19)</f>
        <v>0</v>
      </c>
      <c r="E19" s="8">
        <f>IF(A19="","",FixedTotal/DAY(EOMONTH(MonthStart,0)))</f>
        <v>987.6451612903226</v>
      </c>
      <c r="F19" s="8">
        <f>IF(A19="","",D19-E19)</f>
        <v>-987.6451612903226</v>
      </c>
      <c r="G19" s="8">
        <f>IF(A19="","",Overview!$C$6+SUM($F$7:F19))</f>
        <v>-12839.387096774193</v>
      </c>
    </row>
    <row r="20" spans="1:7">
      <c r="A20" s="11">
        <f>IF(14&lt;=DAY(EOMONTH(MonthStart,0)),MonthStart+13,"")</f>
        <v>46309</v>
      </c>
      <c r="B20" s="8">
        <f>IF($A20="","",SUMIFS('Daily entries'!$C$7:$C$2006,'Daily entries'!$A$7:$A$2006,"&gt;="&amp;$A20,'Daily entries'!$A$7:$A$2006,"&lt;"&amp;$A20+1))</f>
        <v>0</v>
      </c>
      <c r="C20" s="8">
        <f>IF($A20="","",SUMIFS('Daily entries'!$D$7:$D$2006,'Daily entries'!$A$7:$A$2006,"&gt;="&amp;$A20,'Daily entries'!$A$7:$A$2006,"&lt;"&amp;$A20+1))</f>
        <v>0</v>
      </c>
      <c r="D20" s="8">
        <f>IF(A20="","",B20-C20)</f>
        <v>0</v>
      </c>
      <c r="E20" s="8">
        <f>IF(A20="","",FixedTotal/DAY(EOMONTH(MonthStart,0)))</f>
        <v>987.6451612903226</v>
      </c>
      <c r="F20" s="8">
        <f>IF(A20="","",D20-E20)</f>
        <v>-987.6451612903226</v>
      </c>
      <c r="G20" s="8">
        <f>IF(A20="","",Overview!$C$6+SUM($F$7:F20))</f>
        <v>-13827.032258064517</v>
      </c>
    </row>
    <row r="21" spans="1:7">
      <c r="A21" s="11">
        <f>IF(15&lt;=DAY(EOMONTH(MonthStart,0)),MonthStart+14,"")</f>
        <v>46310</v>
      </c>
      <c r="B21" s="8">
        <f>IF($A21="","",SUMIFS('Daily entries'!$C$7:$C$2006,'Daily entries'!$A$7:$A$2006,"&gt;="&amp;$A21,'Daily entries'!$A$7:$A$2006,"&lt;"&amp;$A21+1))</f>
        <v>0</v>
      </c>
      <c r="C21" s="8">
        <f>IF($A21="","",SUMIFS('Daily entries'!$D$7:$D$2006,'Daily entries'!$A$7:$A$2006,"&gt;="&amp;$A21,'Daily entries'!$A$7:$A$2006,"&lt;"&amp;$A21+1))</f>
        <v>0</v>
      </c>
      <c r="D21" s="8">
        <f>IF(A21="","",B21-C21)</f>
        <v>0</v>
      </c>
      <c r="E21" s="8">
        <f>IF(A21="","",FixedTotal/DAY(EOMONTH(MonthStart,0)))</f>
        <v>987.6451612903226</v>
      </c>
      <c r="F21" s="8">
        <f>IF(A21="","",D21-E21)</f>
        <v>-987.6451612903226</v>
      </c>
      <c r="G21" s="8">
        <f>IF(A21="","",Overview!$C$6+SUM($F$7:F21))</f>
        <v>-14814.677419354839</v>
      </c>
    </row>
    <row r="22" spans="1:7">
      <c r="A22" s="11">
        <f>IF(16&lt;=DAY(EOMONTH(MonthStart,0)),MonthStart+15,"")</f>
        <v>46311</v>
      </c>
      <c r="B22" s="8">
        <f>IF($A22="","",SUMIFS('Daily entries'!$C$7:$C$2006,'Daily entries'!$A$7:$A$2006,"&gt;="&amp;$A22,'Daily entries'!$A$7:$A$2006,"&lt;"&amp;$A22+1))</f>
        <v>0</v>
      </c>
      <c r="C22" s="8">
        <f>IF($A22="","",SUMIFS('Daily entries'!$D$7:$D$2006,'Daily entries'!$A$7:$A$2006,"&gt;="&amp;$A22,'Daily entries'!$A$7:$A$2006,"&lt;"&amp;$A22+1))</f>
        <v>0</v>
      </c>
      <c r="D22" s="8">
        <f>IF(A22="","",B22-C22)</f>
        <v>0</v>
      </c>
      <c r="E22" s="8">
        <f>IF(A22="","",FixedTotal/DAY(EOMONTH(MonthStart,0)))</f>
        <v>987.6451612903226</v>
      </c>
      <c r="F22" s="8">
        <f>IF(A22="","",D22-E22)</f>
        <v>-987.6451612903226</v>
      </c>
      <c r="G22" s="8">
        <f>IF(A22="","",Overview!$C$6+SUM($F$7:F22))</f>
        <v>-15802.322580645161</v>
      </c>
    </row>
    <row r="23" spans="1:7">
      <c r="A23" s="11">
        <f>IF(17&lt;=DAY(EOMONTH(MonthStart,0)),MonthStart+16,"")</f>
        <v>46312</v>
      </c>
      <c r="B23" s="8">
        <f>IF($A23="","",SUMIFS('Daily entries'!$C$7:$C$2006,'Daily entries'!$A$7:$A$2006,"&gt;="&amp;$A23,'Daily entries'!$A$7:$A$2006,"&lt;"&amp;$A23+1))</f>
        <v>0</v>
      </c>
      <c r="C23" s="8">
        <f>IF($A23="","",SUMIFS('Daily entries'!$D$7:$D$2006,'Daily entries'!$A$7:$A$2006,"&gt;="&amp;$A23,'Daily entries'!$A$7:$A$2006,"&lt;"&amp;$A23+1))</f>
        <v>0</v>
      </c>
      <c r="D23" s="8">
        <f>IF(A23="","",B23-C23)</f>
        <v>0</v>
      </c>
      <c r="E23" s="8">
        <f>IF(A23="","",FixedTotal/DAY(EOMONTH(MonthStart,0)))</f>
        <v>987.6451612903226</v>
      </c>
      <c r="F23" s="8">
        <f>IF(A23="","",D23-E23)</f>
        <v>-987.6451612903226</v>
      </c>
      <c r="G23" s="8">
        <f>IF(A23="","",Overview!$C$6+SUM($F$7:F23))</f>
        <v>-16789.967741935485</v>
      </c>
    </row>
    <row r="24" spans="1:7">
      <c r="A24" s="11">
        <f>IF(18&lt;=DAY(EOMONTH(MonthStart,0)),MonthStart+17,"")</f>
        <v>46313</v>
      </c>
      <c r="B24" s="8">
        <f>IF($A24="","",SUMIFS('Daily entries'!$C$7:$C$2006,'Daily entries'!$A$7:$A$2006,"&gt;="&amp;$A24,'Daily entries'!$A$7:$A$2006,"&lt;"&amp;$A24+1))</f>
        <v>0</v>
      </c>
      <c r="C24" s="8">
        <f>IF($A24="","",SUMIFS('Daily entries'!$D$7:$D$2006,'Daily entries'!$A$7:$A$2006,"&gt;="&amp;$A24,'Daily entries'!$A$7:$A$2006,"&lt;"&amp;$A24+1))</f>
        <v>0</v>
      </c>
      <c r="D24" s="8">
        <f>IF(A24="","",B24-C24)</f>
        <v>0</v>
      </c>
      <c r="E24" s="8">
        <f>IF(A24="","",FixedTotal/DAY(EOMONTH(MonthStart,0)))</f>
        <v>987.6451612903226</v>
      </c>
      <c r="F24" s="8">
        <f>IF(A24="","",D24-E24)</f>
        <v>-987.6451612903226</v>
      </c>
      <c r="G24" s="8">
        <f>IF(A24="","",Overview!$C$6+SUM($F$7:F24))</f>
        <v>-17777.612903225807</v>
      </c>
    </row>
    <row r="25" spans="1:7">
      <c r="A25" s="11">
        <f>IF(19&lt;=DAY(EOMONTH(MonthStart,0)),MonthStart+18,"")</f>
        <v>46314</v>
      </c>
      <c r="B25" s="8">
        <f>IF($A25="","",SUMIFS('Daily entries'!$C$7:$C$2006,'Daily entries'!$A$7:$A$2006,"&gt;="&amp;$A25,'Daily entries'!$A$7:$A$2006,"&lt;"&amp;$A25+1))</f>
        <v>0</v>
      </c>
      <c r="C25" s="8">
        <f>IF($A25="","",SUMIFS('Daily entries'!$D$7:$D$2006,'Daily entries'!$A$7:$A$2006,"&gt;="&amp;$A25,'Daily entries'!$A$7:$A$2006,"&lt;"&amp;$A25+1))</f>
        <v>0</v>
      </c>
      <c r="D25" s="8">
        <f>IF(A25="","",B25-C25)</f>
        <v>0</v>
      </c>
      <c r="E25" s="8">
        <f>IF(A25="","",FixedTotal/DAY(EOMONTH(MonthStart,0)))</f>
        <v>987.6451612903226</v>
      </c>
      <c r="F25" s="8">
        <f>IF(A25="","",D25-E25)</f>
        <v>-987.6451612903226</v>
      </c>
      <c r="G25" s="8">
        <f>IF(A25="","",Overview!$C$6+SUM($F$7:F25))</f>
        <v>-18765.25806451613</v>
      </c>
    </row>
    <row r="26" spans="1:7">
      <c r="A26" s="11">
        <f>IF(20&lt;=DAY(EOMONTH(MonthStart,0)),MonthStart+19,"")</f>
        <v>46315</v>
      </c>
      <c r="B26" s="8">
        <f>IF($A26="","",SUMIFS('Daily entries'!$C$7:$C$2006,'Daily entries'!$A$7:$A$2006,"&gt;="&amp;$A26,'Daily entries'!$A$7:$A$2006,"&lt;"&amp;$A26+1))</f>
        <v>0</v>
      </c>
      <c r="C26" s="8">
        <f>IF($A26="","",SUMIFS('Daily entries'!$D$7:$D$2006,'Daily entries'!$A$7:$A$2006,"&gt;="&amp;$A26,'Daily entries'!$A$7:$A$2006,"&lt;"&amp;$A26+1))</f>
        <v>0</v>
      </c>
      <c r="D26" s="8">
        <f>IF(A26="","",B26-C26)</f>
        <v>0</v>
      </c>
      <c r="E26" s="8">
        <f>IF(A26="","",FixedTotal/DAY(EOMONTH(MonthStart,0)))</f>
        <v>987.6451612903226</v>
      </c>
      <c r="F26" s="8">
        <f>IF(A26="","",D26-E26)</f>
        <v>-987.6451612903226</v>
      </c>
      <c r="G26" s="8">
        <f>IF(A26="","",Overview!$C$6+SUM($F$7:F26))</f>
        <v>-19752.90322580645</v>
      </c>
    </row>
    <row r="27" spans="1:7">
      <c r="A27" s="11">
        <f>IF(21&lt;=DAY(EOMONTH(MonthStart,0)),MonthStart+20,"")</f>
        <v>46316</v>
      </c>
      <c r="B27" s="8">
        <f>IF($A27="","",SUMIFS('Daily entries'!$C$7:$C$2006,'Daily entries'!$A$7:$A$2006,"&gt;="&amp;$A27,'Daily entries'!$A$7:$A$2006,"&lt;"&amp;$A27+1))</f>
        <v>0</v>
      </c>
      <c r="C27" s="8">
        <f>IF($A27="","",SUMIFS('Daily entries'!$D$7:$D$2006,'Daily entries'!$A$7:$A$2006,"&gt;="&amp;$A27,'Daily entries'!$A$7:$A$2006,"&lt;"&amp;$A27+1))</f>
        <v>0</v>
      </c>
      <c r="D27" s="8">
        <f>IF(A27="","",B27-C27)</f>
        <v>0</v>
      </c>
      <c r="E27" s="8">
        <f>IF(A27="","",FixedTotal/DAY(EOMONTH(MonthStart,0)))</f>
        <v>987.6451612903226</v>
      </c>
      <c r="F27" s="8">
        <f>IF(A27="","",D27-E27)</f>
        <v>-987.6451612903226</v>
      </c>
      <c r="G27" s="8">
        <f>IF(A27="","",Overview!$C$6+SUM($F$7:F27))</f>
        <v>-20740.548387096773</v>
      </c>
    </row>
    <row r="28" spans="1:7">
      <c r="A28" s="11">
        <f>IF(22&lt;=DAY(EOMONTH(MonthStart,0)),MonthStart+21,"")</f>
        <v>46317</v>
      </c>
      <c r="B28" s="8">
        <f>IF($A28="","",SUMIFS('Daily entries'!$C$7:$C$2006,'Daily entries'!$A$7:$A$2006,"&gt;="&amp;$A28,'Daily entries'!$A$7:$A$2006,"&lt;"&amp;$A28+1))</f>
        <v>0</v>
      </c>
      <c r="C28" s="8">
        <f>IF($A28="","",SUMIFS('Daily entries'!$D$7:$D$2006,'Daily entries'!$A$7:$A$2006,"&gt;="&amp;$A28,'Daily entries'!$A$7:$A$2006,"&lt;"&amp;$A28+1))</f>
        <v>0</v>
      </c>
      <c r="D28" s="8">
        <f>IF(A28="","",B28-C28)</f>
        <v>0</v>
      </c>
      <c r="E28" s="8">
        <f>IF(A28="","",FixedTotal/DAY(EOMONTH(MonthStart,0)))</f>
        <v>987.6451612903226</v>
      </c>
      <c r="F28" s="8">
        <f>IF(A28="","",D28-E28)</f>
        <v>-987.6451612903226</v>
      </c>
      <c r="G28" s="8">
        <f>IF(A28="","",Overview!$C$6+SUM($F$7:F28))</f>
        <v>-21728.1935483871</v>
      </c>
    </row>
    <row r="29" spans="1:7">
      <c r="A29" s="11">
        <f>IF(23&lt;=DAY(EOMONTH(MonthStart,0)),MonthStart+22,"")</f>
        <v>46318</v>
      </c>
      <c r="B29" s="8">
        <f>IF($A29="","",SUMIFS('Daily entries'!$C$7:$C$2006,'Daily entries'!$A$7:$A$2006,"&gt;="&amp;$A29,'Daily entries'!$A$7:$A$2006,"&lt;"&amp;$A29+1))</f>
        <v>0</v>
      </c>
      <c r="C29" s="8">
        <f>IF($A29="","",SUMIFS('Daily entries'!$D$7:$D$2006,'Daily entries'!$A$7:$A$2006,"&gt;="&amp;$A29,'Daily entries'!$A$7:$A$2006,"&lt;"&amp;$A29+1))</f>
        <v>0</v>
      </c>
      <c r="D29" s="8">
        <f>IF(A29="","",B29-C29)</f>
        <v>0</v>
      </c>
      <c r="E29" s="8">
        <f>IF(A29="","",FixedTotal/DAY(EOMONTH(MonthStart,0)))</f>
        <v>987.6451612903226</v>
      </c>
      <c r="F29" s="8">
        <f>IF(A29="","",D29-E29)</f>
        <v>-987.6451612903226</v>
      </c>
      <c r="G29" s="8">
        <f>IF(A29="","",Overview!$C$6+SUM($F$7:F29))</f>
        <v>-22715.83870967742</v>
      </c>
    </row>
    <row r="30" spans="1:7">
      <c r="A30" s="11">
        <f>IF(24&lt;=DAY(EOMONTH(MonthStart,0)),MonthStart+23,"")</f>
        <v>46319</v>
      </c>
      <c r="B30" s="8">
        <f>IF($A30="","",SUMIFS('Daily entries'!$C$7:$C$2006,'Daily entries'!$A$7:$A$2006,"&gt;="&amp;$A30,'Daily entries'!$A$7:$A$2006,"&lt;"&amp;$A30+1))</f>
        <v>0</v>
      </c>
      <c r="C30" s="8">
        <f>IF($A30="","",SUMIFS('Daily entries'!$D$7:$D$2006,'Daily entries'!$A$7:$A$2006,"&gt;="&amp;$A30,'Daily entries'!$A$7:$A$2006,"&lt;"&amp;$A30+1))</f>
        <v>0</v>
      </c>
      <c r="D30" s="8">
        <f>IF(A30="","",B30-C30)</f>
        <v>0</v>
      </c>
      <c r="E30" s="8">
        <f>IF(A30="","",FixedTotal/DAY(EOMONTH(MonthStart,0)))</f>
        <v>987.6451612903226</v>
      </c>
      <c r="F30" s="8">
        <f>IF(A30="","",D30-E30)</f>
        <v>-987.6451612903226</v>
      </c>
      <c r="G30" s="8">
        <f>IF(A30="","",Overview!$C$6+SUM($F$7:F30))</f>
        <v>-23703.483870967742</v>
      </c>
    </row>
    <row r="31" spans="1:7">
      <c r="A31" s="11">
        <f>IF(25&lt;=DAY(EOMONTH(MonthStart,0)),MonthStart+24,"")</f>
        <v>46320</v>
      </c>
      <c r="B31" s="8">
        <f>IF($A31="","",SUMIFS('Daily entries'!$C$7:$C$2006,'Daily entries'!$A$7:$A$2006,"&gt;="&amp;$A31,'Daily entries'!$A$7:$A$2006,"&lt;"&amp;$A31+1))</f>
        <v>0</v>
      </c>
      <c r="C31" s="8">
        <f>IF($A31="","",SUMIFS('Daily entries'!$D$7:$D$2006,'Daily entries'!$A$7:$A$2006,"&gt;="&amp;$A31,'Daily entries'!$A$7:$A$2006,"&lt;"&amp;$A31+1))</f>
        <v>0</v>
      </c>
      <c r="D31" s="8">
        <f>IF(A31="","",B31-C31)</f>
        <v>0</v>
      </c>
      <c r="E31" s="8">
        <f>IF(A31="","",FixedTotal/DAY(EOMONTH(MonthStart,0)))</f>
        <v>987.6451612903226</v>
      </c>
      <c r="F31" s="8">
        <f>IF(A31="","",D31-E31)</f>
        <v>-987.6451612903226</v>
      </c>
      <c r="G31" s="8">
        <f>IF(A31="","",Overview!$C$6+SUM($F$7:F31))</f>
        <v>-24691.129032258064</v>
      </c>
    </row>
    <row r="32" spans="1:7">
      <c r="A32" s="11">
        <f>IF(26&lt;=DAY(EOMONTH(MonthStart,0)),MonthStart+25,"")</f>
        <v>46321</v>
      </c>
      <c r="B32" s="8">
        <f>IF($A32="","",SUMIFS('Daily entries'!$C$7:$C$2006,'Daily entries'!$A$7:$A$2006,"&gt;="&amp;$A32,'Daily entries'!$A$7:$A$2006,"&lt;"&amp;$A32+1))</f>
        <v>0</v>
      </c>
      <c r="C32" s="8">
        <f>IF($A32="","",SUMIFS('Daily entries'!$D$7:$D$2006,'Daily entries'!$A$7:$A$2006,"&gt;="&amp;$A32,'Daily entries'!$A$7:$A$2006,"&lt;"&amp;$A32+1))</f>
        <v>0</v>
      </c>
      <c r="D32" s="8">
        <f>IF(A32="","",B32-C32)</f>
        <v>0</v>
      </c>
      <c r="E32" s="8">
        <f>IF(A32="","",FixedTotal/DAY(EOMONTH(MonthStart,0)))</f>
        <v>987.6451612903226</v>
      </c>
      <c r="F32" s="8">
        <f>IF(A32="","",D32-E32)</f>
        <v>-987.6451612903226</v>
      </c>
      <c r="G32" s="8">
        <f>IF(A32="","",Overview!$C$6+SUM($F$7:F32))</f>
        <v>-25678.774193548386</v>
      </c>
    </row>
    <row r="33" spans="1:7">
      <c r="A33" s="11">
        <f>IF(27&lt;=DAY(EOMONTH(MonthStart,0)),MonthStart+26,"")</f>
        <v>46322</v>
      </c>
      <c r="B33" s="8">
        <f>IF($A33="","",SUMIFS('Daily entries'!$C$7:$C$2006,'Daily entries'!$A$7:$A$2006,"&gt;="&amp;$A33,'Daily entries'!$A$7:$A$2006,"&lt;"&amp;$A33+1))</f>
        <v>0</v>
      </c>
      <c r="C33" s="8">
        <f>IF($A33="","",SUMIFS('Daily entries'!$D$7:$D$2006,'Daily entries'!$A$7:$A$2006,"&gt;="&amp;$A33,'Daily entries'!$A$7:$A$2006,"&lt;"&amp;$A33+1))</f>
        <v>0</v>
      </c>
      <c r="D33" s="8">
        <f>IF(A33="","",B33-C33)</f>
        <v>0</v>
      </c>
      <c r="E33" s="8">
        <f>IF(A33="","",FixedTotal/DAY(EOMONTH(MonthStart,0)))</f>
        <v>987.6451612903226</v>
      </c>
      <c r="F33" s="8">
        <f>IF(A33="","",D33-E33)</f>
        <v>-987.6451612903226</v>
      </c>
      <c r="G33" s="8">
        <f>IF(A33="","",Overview!$C$6+SUM($F$7:F33))</f>
        <v>-26666.41935483871</v>
      </c>
    </row>
    <row r="34" spans="1:7">
      <c r="A34" s="11">
        <f>IF(28&lt;=DAY(EOMONTH(MonthStart,0)),MonthStart+27,"")</f>
        <v>46323</v>
      </c>
      <c r="B34" s="8">
        <f>IF($A34="","",SUMIFS('Daily entries'!$C$7:$C$2006,'Daily entries'!$A$7:$A$2006,"&gt;="&amp;$A34,'Daily entries'!$A$7:$A$2006,"&lt;"&amp;$A34+1))</f>
        <v>0</v>
      </c>
      <c r="C34" s="8">
        <f>IF($A34="","",SUMIFS('Daily entries'!$D$7:$D$2006,'Daily entries'!$A$7:$A$2006,"&gt;="&amp;$A34,'Daily entries'!$A$7:$A$2006,"&lt;"&amp;$A34+1))</f>
        <v>0</v>
      </c>
      <c r="D34" s="8">
        <f>IF(A34="","",B34-C34)</f>
        <v>0</v>
      </c>
      <c r="E34" s="8">
        <f>IF(A34="","",FixedTotal/DAY(EOMONTH(MonthStart,0)))</f>
        <v>987.6451612903226</v>
      </c>
      <c r="F34" s="8">
        <f>IF(A34="","",D34-E34)</f>
        <v>-987.6451612903226</v>
      </c>
      <c r="G34" s="8">
        <f>IF(A34="","",Overview!$C$6+SUM($F$7:F34))</f>
        <v>-27654.064516129034</v>
      </c>
    </row>
    <row r="35" spans="1:7">
      <c r="A35" s="11">
        <f>IF(29&lt;=DAY(EOMONTH(MonthStart,0)),MonthStart+28,"")</f>
        <v>46324</v>
      </c>
      <c r="B35" s="8">
        <f>IF($A35="","",SUMIFS('Daily entries'!$C$7:$C$2006,'Daily entries'!$A$7:$A$2006,"&gt;="&amp;$A35,'Daily entries'!$A$7:$A$2006,"&lt;"&amp;$A35+1))</f>
        <v>0</v>
      </c>
      <c r="C35" s="8">
        <f>IF($A35="","",SUMIFS('Daily entries'!$D$7:$D$2006,'Daily entries'!$A$7:$A$2006,"&gt;="&amp;$A35,'Daily entries'!$A$7:$A$2006,"&lt;"&amp;$A35+1))</f>
        <v>0</v>
      </c>
      <c r="D35" s="8">
        <f>IF(A35="","",B35-C35)</f>
        <v>0</v>
      </c>
      <c r="E35" s="8">
        <f>IF(A35="","",FixedTotal/DAY(EOMONTH(MonthStart,0)))</f>
        <v>987.6451612903226</v>
      </c>
      <c r="F35" s="8">
        <f>IF(A35="","",D35-E35)</f>
        <v>-987.6451612903226</v>
      </c>
      <c r="G35" s="8">
        <f>IF(A35="","",Overview!$C$6+SUM($F$7:F35))</f>
        <v>-28641.709677419356</v>
      </c>
    </row>
    <row r="36" spans="1:7">
      <c r="A36" s="11">
        <f>IF(30&lt;=DAY(EOMONTH(MonthStart,0)),MonthStart+29,"")</f>
        <v>46325</v>
      </c>
      <c r="B36" s="8">
        <f>IF($A36="","",SUMIFS('Daily entries'!$C$7:$C$2006,'Daily entries'!$A$7:$A$2006,"&gt;="&amp;$A36,'Daily entries'!$A$7:$A$2006,"&lt;"&amp;$A36+1))</f>
        <v>0</v>
      </c>
      <c r="C36" s="8">
        <f>IF($A36="","",SUMIFS('Daily entries'!$D$7:$D$2006,'Daily entries'!$A$7:$A$2006,"&gt;="&amp;$A36,'Daily entries'!$A$7:$A$2006,"&lt;"&amp;$A36+1))</f>
        <v>0</v>
      </c>
      <c r="D36" s="8">
        <f>IF(A36="","",B36-C36)</f>
        <v>0</v>
      </c>
      <c r="E36" s="8">
        <f>IF(A36="","",FixedTotal/DAY(EOMONTH(MonthStart,0)))</f>
        <v>987.6451612903226</v>
      </c>
      <c r="F36" s="8">
        <f>IF(A36="","",D36-E36)</f>
        <v>-987.6451612903226</v>
      </c>
      <c r="G36" s="8">
        <f>IF(A36="","",Overview!$C$6+SUM($F$7:F36))</f>
        <v>-29629.354838709678</v>
      </c>
    </row>
    <row r="37" spans="1:7">
      <c r="A37" s="11">
        <f>IF(31&lt;=DAY(EOMONTH(MonthStart,0)),MonthStart+30,"")</f>
        <v>46326</v>
      </c>
      <c r="B37" s="8">
        <f>IF($A37="","",SUMIFS('Daily entries'!$C$7:$C$2006,'Daily entries'!$A$7:$A$2006,"&gt;="&amp;$A37,'Daily entries'!$A$7:$A$2006,"&lt;"&amp;$A37+1))</f>
        <v>0</v>
      </c>
      <c r="C37" s="8">
        <f>IF($A37="","",SUMIFS('Daily entries'!$D$7:$D$2006,'Daily entries'!$A$7:$A$2006,"&gt;="&amp;$A37,'Daily entries'!$A$7:$A$2006,"&lt;"&amp;$A37+1))</f>
        <v>0</v>
      </c>
      <c r="D37" s="8">
        <f>IF(A37="","",B37-C37)</f>
        <v>0</v>
      </c>
      <c r="E37" s="8">
        <f>IF(A37="","",FixedTotal/DAY(EOMONTH(MonthStart,0)))</f>
        <v>987.6451612903226</v>
      </c>
      <c r="F37" s="8">
        <f>IF(A37="","",D37-E37)</f>
        <v>-987.6451612903226</v>
      </c>
      <c r="G37" s="8">
        <f>IF(A37="","",Overview!$C$6+SUM($F$7:F37))</f>
        <v>-30617.0</v>
      </c>
    </row>
    <row r="39" spans="1:7">
      <c r="A39" s="3" t="s">
        <v>40</v>
      </c>
      <c r="B39" s="8">
        <f>SUM(B7:B37)</f>
        <v>0</v>
      </c>
      <c r="C39" s="8">
        <f>SUM(C7:C37)</f>
        <v>0</v>
      </c>
      <c r="D39" s="8">
        <f>SUM(D7:D37)</f>
        <v>0</v>
      </c>
      <c r="E39" s="8">
        <f>SUM(E7:E37)</f>
        <v>30617</v>
      </c>
      <c r="F39" s="8">
        <f>SUM(F7:F37)</f>
        <v>-30617</v>
      </c>
      <c r="G39" s="8">
        <f>Overview!C6+SUM(F7:F37)</f>
        <v>-30617</v>
      </c>
    </row>
  </sheetData>
  <autoFilter ref="A6:G37"/>
  <mergeCells count="2">
    <mergeCell ref="A2:G2"/>
    <mergeCell ref="A3:G4"/>
  </mergeCells>
  <conditionalFormatting sqref="F7:G37">
    <cfRule type="cellIs" dxfId="0" priority="1" operator="lessThan">
      <formula>0</formula>
    </cfRule>
  </conditionalFormatting>
  <pageMargins left="0.3" right="0.3" top="0.4" bottom="0.4" header="0.3" footer="0.3"/>
  <pageSetup orientation="landscape"/>
  <headerFooter>
    <oddHeader>&amp;LIncome &amp; expenses · CZK&amp;R&amp;P / &amp;N</oddHeader>
    <oddFooter>&amp;LBlue cells = editable inputs</oddFooter>
  </headerFooter>
</worksheet>
</file>

<file path=xl/worksheets/sheet5.xml><?xml version="1.0" encoding="utf-8"?>
<worksheet xmlns="http://schemas.openxmlformats.org/spreadsheetml/2006/main" xmlns:r="http://schemas.openxmlformats.org/officeDocument/2006/relationships">
  <sheetPr>
    <tabColor rgb="FF1769AA"/>
    <pageSetUpPr fitToPage="1"/>
  </sheetPr>
  <dimension ref="A2:C7"/>
  <sheetViews>
    <sheetView showGridLines="0" workbookViewId="0">
      <pane ySplit="6" topLeftCell="A7" activePane="bottomLeft" state="frozen"/>
      <selection pane="bottomLeft"/>
    </sheetView>
  </sheetViews>
  <sheetFormatPr defaultRowHeight="15"/>
  <cols>
    <col min="1" max="1" width="23.7109375" customWidth="1"/>
    <col min="2" max="2" width="24.7109375" customWidth="1"/>
    <col min="3" max="3" width="60.7109375" customWidth="1"/>
  </cols>
  <sheetData>
    <row r="2" spans="1:3">
      <c r="A2" s="1" t="s">
        <v>41</v>
      </c>
      <c r="B2" s="1"/>
      <c r="C2" s="1"/>
    </row>
    <row r="3" spans="1:3">
      <c r="A3" s="2" t="s">
        <v>42</v>
      </c>
      <c r="B3" s="2"/>
      <c r="C3" s="2"/>
    </row>
    <row r="4" spans="1:3">
      <c r="A4" s="2"/>
      <c r="B4" s="2"/>
      <c r="C4" s="2"/>
    </row>
    <row r="6" spans="1:3" ht="35" customHeight="1">
      <c r="A6" t="s">
        <v>43</v>
      </c>
      <c r="B6" t="s">
        <v>44</v>
      </c>
      <c r="C6" t="s">
        <v>22</v>
      </c>
    </row>
    <row r="7" spans="1:3">
      <c r="A7" s="4">
        <v>46296</v>
      </c>
      <c r="B7" s="5"/>
      <c r="C7" s="9" t="s">
        <v>45</v>
      </c>
    </row>
  </sheetData>
  <mergeCells count="2">
    <mergeCell ref="A2:C2"/>
    <mergeCell ref="A3:C4"/>
  </mergeCells>
  <conditionalFormatting sqref="A7:C126">
    <cfRule type="expression" dxfId="0" priority="1">
      <formula>AND($A7="",ISNUMBER($B7))</formula>
    </cfRule>
  </conditionalFormatting>
  <dataValidations count="2">
    <dataValidation type="date" allowBlank="1" showInputMessage="1" showErrorMessage="1" sqref="A7:A126">
      <formula1>36526</formula1>
      <formula2>73415</formula2>
    </dataValidation>
    <dataValidation type="decimal" allowBlank="1" showInputMessage="1" showErrorMessage="1" error="Enter zero or a positive bill amount." sqref="B7:B126">
      <formula1>0</formula1>
      <formula2>1000000000.0</formula2>
    </dataValidation>
  </dataValidations>
  <pageMargins left="0.3" right="0.3" top="0.4" bottom="0.4" header="0.3" footer="0.3"/>
  <pageSetup orientation="landscape"/>
  <headerFooter>
    <oddHeader>&amp;LIncome &amp; expenses · CZK&amp;R&amp;P / &amp;N</oddHeader>
    <oddFooter>&amp;LBlue cells = editable inputs</oddFooter>
  </headerFooter>
  <tableParts count="1">
    <tablePart r:id="rId1"/>
  </tableParts>
</worksheet>
</file>

<file path=xl/worksheets/sheet6.xml><?xml version="1.0" encoding="utf-8"?>
<worksheet xmlns="http://schemas.openxmlformats.org/spreadsheetml/2006/main" xmlns:r="http://schemas.openxmlformats.org/officeDocument/2006/relationships">
  <sheetPr>
    <tabColor rgb="FF1769AA"/>
    <pageSetUpPr fitToPage="1"/>
  </sheetPr>
  <dimension ref="B2:C29"/>
  <sheetViews>
    <sheetView showGridLines="0" workbookViewId="0"/>
  </sheetViews>
  <sheetFormatPr defaultRowHeight="15"/>
  <cols>
    <col min="1" max="1" width="4.7109375" customWidth="1"/>
    <col min="2" max="2" width="96.7109375" customWidth="1"/>
  </cols>
  <sheetData>
    <row r="2" spans="2:3">
      <c r="B2" s="1" t="s">
        <v>46</v>
      </c>
      <c r="C2" s="1"/>
    </row>
    <row r="5" spans="2:3" ht="48" customHeight="1">
      <c r="B5" s="7" t="s">
        <v>47</v>
      </c>
    </row>
    <row r="8" spans="2:3" ht="48" customHeight="1">
      <c r="B8" s="7" t="s">
        <v>48</v>
      </c>
    </row>
    <row r="11" spans="2:3" ht="48" customHeight="1">
      <c r="B11" s="7" t="s">
        <v>49</v>
      </c>
    </row>
    <row r="14" spans="2:3" ht="48" customHeight="1">
      <c r="B14" s="7" t="s">
        <v>50</v>
      </c>
    </row>
    <row r="17" spans="2:2" ht="48" customHeight="1">
      <c r="B17" s="7" t="s">
        <v>51</v>
      </c>
    </row>
    <row r="20" spans="2:2" ht="48" customHeight="1">
      <c r="B20" s="7" t="s">
        <v>52</v>
      </c>
    </row>
    <row r="23" spans="2:2" ht="48" customHeight="1">
      <c r="B23" s="7" t="s">
        <v>53</v>
      </c>
    </row>
    <row r="26" spans="2:2" ht="48" customHeight="1">
      <c r="B26" s="7" t="s">
        <v>54</v>
      </c>
    </row>
    <row r="29" spans="2:2" ht="48" customHeight="1">
      <c r="B29" s="7" t="s">
        <v>55</v>
      </c>
    </row>
  </sheetData>
  <mergeCells count="1">
    <mergeCell ref="B2:C2"/>
  </mergeCells>
  <pageMargins left="0.3" right="0.3" top="0.4" bottom="0.4" header="0.3" footer="0.3"/>
  <pageSetup orientation="landscape"/>
  <headerFooter>
    <oddHeader>&amp;LIncome &amp; expenses · CZK&amp;R&amp;P / &amp;N</oddHeader>
    <oddFooter>&amp;LBlue cells = editable inputs</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9</vt:i4>
      </vt:variant>
    </vt:vector>
  </HeadingPairs>
  <TitlesOfParts>
    <vt:vector size="15" baseType="lpstr">
      <vt:lpstr>Overview</vt:lpstr>
      <vt:lpstr>Daily entries</vt:lpstr>
      <vt:lpstr>Fixed costs</vt:lpstr>
      <vt:lpstr>Daily summary</vt:lpstr>
      <vt:lpstr>Vodafone bills</vt:lpstr>
      <vt:lpstr>Read me</vt:lpstr>
      <vt:lpstr>FixedTotal</vt:lpstr>
      <vt:lpstr>MonthStart</vt:lpstr>
      <vt:lpstr>'Daily summary'!Print_Area</vt:lpstr>
      <vt:lpstr>'Fixed costs'!Print_Area</vt:lpstr>
      <vt:lpstr>Overview!Print_Area</vt:lpstr>
      <vt:lpstr>'Daily entries'!Print_Titles</vt:lpstr>
      <vt:lpstr>'Daily summary'!Print_Titles</vt:lpstr>
      <vt:lpstr>'Vodafone bills'!Print_Titles</vt:lpstr>
      <vt:lpstr>VodafoneTotal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Personal income and expenses — CZK</dc:title>
  <dc:subject>Daily cash flow and monthly fixed costs</dc:subject>
  <dc:creator>Personal Finance</dc:creator>
  <dc:description>Editable inputs in blue. No macros or external connections.</dc:description>
  <cp:lastModifiedBy>Personal Finance</cp:lastModifiedBy>
  <dcterms:created xsi:type="dcterms:W3CDTF">2026-10-18T13:49:44Z</dcterms:created>
  <dcterms:modified xsi:type="dcterms:W3CDTF">2026-10-18T13:49:44Z</dcterms:modified>
</cp:coreProperties>
</file>